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8_{08751575-D3F8-43CF-9DDA-070FB1E5AA09}" xr6:coauthVersionLast="47" xr6:coauthVersionMax="47" xr10:uidLastSave="{00000000-0000-0000-0000-000000000000}"/>
  <bookViews>
    <workbookView xWindow="-110" yWindow="-110" windowWidth="19420" windowHeight="10420" xr2:uid="{8433604D-F708-4055-A4DD-4CB3CE61B639}"/>
  </bookViews>
  <sheets>
    <sheet name="DASHBOARD" sheetId="1" r:id="rId1"/>
    <sheet name="CUSTOMERS" sheetId="2" r:id="rId2"/>
    <sheet name="PRODUCTS" sheetId="3" r:id="rId3"/>
    <sheet name="VENDORS" sheetId="4" r:id="rId4"/>
    <sheet name="NEW ENTRY" sheetId="5" r:id="rId5"/>
    <sheet name="PURCHASE" sheetId="6" r:id="rId6"/>
    <sheet name="SALES" sheetId="7" r:id="rId7"/>
    <sheet name="INVENTORY" sheetId="8" r:id="rId8"/>
    <sheet name="PIVOTS" sheetId="9" r:id="rId9"/>
  </sheets>
  <definedNames>
    <definedName name="CodeP">Table2[Product_Code]</definedName>
    <definedName name="Cust_ID">customersdata[Cust_ID]</definedName>
    <definedName name="Product_Code">Table3[Product_Code]</definedName>
    <definedName name="Productcode">Table2[Product_Code]</definedName>
    <definedName name="productdata">Table2[]</definedName>
    <definedName name="purchasedata">Table4[]</definedName>
    <definedName name="Slicer_Product_Name">#N/A</definedName>
    <definedName name="vendorsdata">Table3[]</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6" l="1"/>
  <c r="F24" i="6"/>
  <c r="I24" i="6"/>
  <c r="J24" i="6" s="1"/>
  <c r="D24" i="8"/>
  <c r="E24" i="8"/>
  <c r="F24" i="8"/>
  <c r="E23" i="7"/>
  <c r="G23" i="7"/>
  <c r="K23" i="7"/>
  <c r="L23" i="7" s="1"/>
  <c r="E23" i="6"/>
  <c r="F23" i="6"/>
  <c r="I23" i="6"/>
  <c r="J23" i="6" s="1"/>
  <c r="D23" i="8"/>
  <c r="E23" i="8"/>
  <c r="F23" i="8"/>
  <c r="E22" i="7"/>
  <c r="G22" i="7"/>
  <c r="K22" i="7"/>
  <c r="L22" i="7" s="1"/>
  <c r="E22" i="6"/>
  <c r="F22" i="6"/>
  <c r="I22" i="6"/>
  <c r="J22" i="6" s="1"/>
  <c r="D22" i="8"/>
  <c r="E22" i="8"/>
  <c r="F22" i="8"/>
  <c r="E21" i="7"/>
  <c r="G21" i="7"/>
  <c r="K21" i="7"/>
  <c r="L21" i="7" s="1"/>
  <c r="E21" i="6"/>
  <c r="F21" i="6"/>
  <c r="I21" i="6"/>
  <c r="J21" i="6" s="1"/>
  <c r="E20" i="7"/>
  <c r="G20" i="7"/>
  <c r="K20" i="7"/>
  <c r="L20" i="7" s="1"/>
  <c r="D21" i="8"/>
  <c r="E21" i="8"/>
  <c r="F21" i="8"/>
  <c r="E20" i="6"/>
  <c r="F20" i="6"/>
  <c r="I20" i="6"/>
  <c r="J20" i="6" s="1"/>
  <c r="E19" i="7"/>
  <c r="G19" i="7"/>
  <c r="K19" i="7"/>
  <c r="L19" i="7" s="1"/>
  <c r="E18" i="7"/>
  <c r="G18" i="7"/>
  <c r="K18" i="7"/>
  <c r="L18" i="7" s="1"/>
  <c r="E17" i="7"/>
  <c r="G17" i="7"/>
  <c r="K17" i="7"/>
  <c r="L17" i="7" s="1"/>
  <c r="E16" i="7"/>
  <c r="G16" i="7"/>
  <c r="K16" i="7"/>
  <c r="L16" i="7" s="1"/>
  <c r="E15" i="7"/>
  <c r="G15" i="7"/>
  <c r="K15" i="7"/>
  <c r="L15" i="7" s="1"/>
  <c r="E14" i="7"/>
  <c r="G14" i="7"/>
  <c r="K14" i="7"/>
  <c r="L14" i="7" s="1"/>
  <c r="E13" i="7"/>
  <c r="G13" i="7"/>
  <c r="K13" i="7"/>
  <c r="L13" i="7" s="1"/>
  <c r="E12" i="7"/>
  <c r="G12" i="7"/>
  <c r="K12" i="7"/>
  <c r="L12" i="7" s="1"/>
  <c r="E11" i="7"/>
  <c r="G11" i="7"/>
  <c r="K11" i="7"/>
  <c r="L11" i="7" s="1"/>
  <c r="E10" i="7"/>
  <c r="G10" i="7"/>
  <c r="K10" i="7"/>
  <c r="L10" i="7" s="1"/>
  <c r="E9" i="7"/>
  <c r="G9" i="7"/>
  <c r="K9" i="7"/>
  <c r="L9" i="7" s="1"/>
  <c r="E8" i="7"/>
  <c r="G8" i="7"/>
  <c r="K8" i="7"/>
  <c r="L8" i="7" s="1"/>
  <c r="E19" i="6"/>
  <c r="F19" i="6"/>
  <c r="I19" i="6"/>
  <c r="J19" i="6" s="1"/>
  <c r="E18" i="6"/>
  <c r="F18" i="6"/>
  <c r="I18" i="6"/>
  <c r="J18" i="6" s="1"/>
  <c r="E17" i="6"/>
  <c r="F17" i="6"/>
  <c r="I17" i="6"/>
  <c r="J17" i="6" s="1"/>
  <c r="E16" i="6"/>
  <c r="F16" i="6"/>
  <c r="I16" i="6"/>
  <c r="J16" i="6" s="1"/>
  <c r="E15" i="6"/>
  <c r="F15" i="6"/>
  <c r="I15" i="6"/>
  <c r="J15" i="6" s="1"/>
  <c r="E14" i="6"/>
  <c r="F14" i="6"/>
  <c r="I14" i="6"/>
  <c r="J14" i="6" s="1"/>
  <c r="E13" i="6"/>
  <c r="F13" i="6"/>
  <c r="I13" i="6"/>
  <c r="J13" i="6" s="1"/>
  <c r="E12" i="6"/>
  <c r="F12" i="6"/>
  <c r="I12" i="6"/>
  <c r="J12" i="6" s="1"/>
  <c r="E11" i="6"/>
  <c r="F11" i="6"/>
  <c r="I11" i="6"/>
  <c r="J11" i="6" s="1"/>
  <c r="E10" i="6"/>
  <c r="F10" i="6"/>
  <c r="I10" i="6"/>
  <c r="J10" i="6" s="1"/>
  <c r="D7" i="8"/>
  <c r="D8" i="8"/>
  <c r="D9" i="8"/>
  <c r="D10" i="8"/>
  <c r="D11" i="8"/>
  <c r="D12" i="8"/>
  <c r="D13" i="8"/>
  <c r="D14" i="8"/>
  <c r="D15" i="8"/>
  <c r="D16" i="8"/>
  <c r="D17" i="8"/>
  <c r="D18" i="8"/>
  <c r="D19" i="8"/>
  <c r="D20" i="8"/>
  <c r="E8" i="8"/>
  <c r="F8" i="8"/>
  <c r="E9" i="8"/>
  <c r="F9" i="8"/>
  <c r="E10" i="8"/>
  <c r="F10" i="8"/>
  <c r="E11" i="8"/>
  <c r="F11" i="8"/>
  <c r="E12" i="8"/>
  <c r="F12" i="8"/>
  <c r="E13" i="8"/>
  <c r="F13" i="8"/>
  <c r="E14" i="8"/>
  <c r="F14" i="8"/>
  <c r="E15" i="8"/>
  <c r="F15" i="8"/>
  <c r="E16" i="8"/>
  <c r="F16" i="8"/>
  <c r="E17" i="8"/>
  <c r="F17" i="8"/>
  <c r="E18" i="8"/>
  <c r="F18" i="8"/>
  <c r="E19" i="8"/>
  <c r="F19" i="8"/>
  <c r="E20" i="8"/>
  <c r="F20" i="8"/>
  <c r="E7" i="8"/>
  <c r="F7" i="8"/>
  <c r="E7" i="7"/>
  <c r="G7" i="7"/>
  <c r="K7" i="7"/>
  <c r="L7" i="7" s="1"/>
  <c r="K6" i="7"/>
  <c r="L6" i="7" s="1"/>
  <c r="G6" i="7"/>
  <c r="E6" i="7"/>
  <c r="E9" i="6"/>
  <c r="F9" i="6"/>
  <c r="I9" i="6"/>
  <c r="J9" i="6" s="1"/>
  <c r="F6" i="6"/>
  <c r="F7" i="6"/>
  <c r="F8" i="6"/>
  <c r="I6" i="6"/>
  <c r="J6" i="6" s="1"/>
  <c r="I7" i="6"/>
  <c r="J7" i="6" s="1"/>
  <c r="I8" i="6"/>
  <c r="J8" i="6" s="1"/>
  <c r="E6" i="6"/>
  <c r="E7" i="6"/>
  <c r="E8" i="6"/>
  <c r="B6" i="9"/>
  <c r="E6" i="9"/>
  <c r="F6" i="9"/>
  <c r="D6" i="9"/>
  <c r="C6" i="9"/>
  <c r="G24" i="8" l="1"/>
  <c r="H24" i="8"/>
  <c r="G23" i="8"/>
  <c r="H23" i="8"/>
  <c r="H21" i="8"/>
  <c r="G21" i="8"/>
  <c r="H22" i="8"/>
  <c r="G22" i="8"/>
  <c r="F11" i="9"/>
  <c r="H7" i="8"/>
  <c r="H9" i="8"/>
  <c r="H20" i="8"/>
  <c r="H16" i="8"/>
  <c r="H12" i="8"/>
  <c r="H8" i="8"/>
  <c r="H19" i="8"/>
  <c r="H11" i="8"/>
  <c r="H15" i="8"/>
  <c r="H18" i="8"/>
  <c r="H14" i="8"/>
  <c r="H10" i="8"/>
  <c r="G13" i="8"/>
  <c r="H17" i="8"/>
  <c r="H13" i="8"/>
  <c r="G11" i="8"/>
  <c r="G14" i="8"/>
  <c r="G20" i="8"/>
  <c r="G19" i="8"/>
  <c r="G15" i="8"/>
  <c r="G12" i="8"/>
  <c r="G18" i="8"/>
  <c r="G10" i="8"/>
  <c r="G17" i="8"/>
  <c r="G9" i="8"/>
  <c r="G16" i="8"/>
  <c r="G7" i="8"/>
  <c r="G8" i="8"/>
  <c r="I24" i="8" l="1"/>
  <c r="K24" i="8" s="1"/>
  <c r="I23" i="7"/>
  <c r="I23" i="8"/>
  <c r="I22" i="7" s="1"/>
  <c r="I21" i="8"/>
  <c r="K21" i="8" s="1"/>
  <c r="I22" i="8"/>
  <c r="K22" i="8" s="1"/>
  <c r="I16" i="8"/>
  <c r="K16" i="8" s="1"/>
  <c r="I11" i="8"/>
  <c r="K11" i="8" s="1"/>
  <c r="I7" i="8"/>
  <c r="K7" i="8" s="1"/>
  <c r="I15" i="8"/>
  <c r="K15" i="8" s="1"/>
  <c r="I9" i="8"/>
  <c r="K9" i="8" s="1"/>
  <c r="I14" i="8"/>
  <c r="K14" i="8" s="1"/>
  <c r="I20" i="8"/>
  <c r="K20" i="8" s="1"/>
  <c r="I12" i="8"/>
  <c r="K12" i="8" s="1"/>
  <c r="I18" i="8"/>
  <c r="K18" i="8" s="1"/>
  <c r="I10" i="8"/>
  <c r="K10" i="8" s="1"/>
  <c r="I8" i="8"/>
  <c r="K8" i="8" s="1"/>
  <c r="I13" i="8"/>
  <c r="K13" i="8" s="1"/>
  <c r="I17" i="8"/>
  <c r="K17" i="8" s="1"/>
  <c r="I19" i="8"/>
  <c r="K19" i="8" s="1"/>
  <c r="I20" i="7" l="1"/>
  <c r="J24" i="8"/>
  <c r="J23" i="8"/>
  <c r="K23" i="8"/>
  <c r="R11" i="1" s="1" a="1"/>
  <c r="R11" i="1" s="1"/>
  <c r="J21" i="8"/>
  <c r="J16" i="8"/>
  <c r="I21" i="7"/>
  <c r="I16" i="7"/>
  <c r="J22" i="8"/>
  <c r="I6" i="7"/>
  <c r="J11" i="8"/>
  <c r="I15" i="7"/>
  <c r="I13" i="7"/>
  <c r="I19" i="7"/>
  <c r="I8" i="7"/>
  <c r="I9" i="7"/>
  <c r="J9" i="8"/>
  <c r="I10" i="7"/>
  <c r="J18" i="8"/>
  <c r="I17" i="7"/>
  <c r="J7" i="8"/>
  <c r="J12" i="8"/>
  <c r="I12" i="7"/>
  <c r="J20" i="8"/>
  <c r="I18" i="7"/>
  <c r="J13" i="8"/>
  <c r="I11" i="7"/>
  <c r="J10" i="8"/>
  <c r="I7" i="7"/>
  <c r="J14" i="8"/>
  <c r="I14" i="7"/>
  <c r="J15" i="8"/>
  <c r="J8" i="8"/>
  <c r="J17" i="8"/>
  <c r="J19"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<sst xmlns="http://schemas.openxmlformats.org/spreadsheetml/2006/main" count="277" uniqueCount="118">
  <si>
    <t>Cust_ID</t>
  </si>
  <si>
    <t>Email</t>
  </si>
  <si>
    <t>Address</t>
  </si>
  <si>
    <t>Ali</t>
  </si>
  <si>
    <t>Ahmed</t>
  </si>
  <si>
    <t>Ahad</t>
  </si>
  <si>
    <t>Bilal</t>
  </si>
  <si>
    <t>Hamid</t>
  </si>
  <si>
    <t>Danish</t>
  </si>
  <si>
    <t>Waleed</t>
  </si>
  <si>
    <t>ali@gmail.com</t>
  </si>
  <si>
    <t>ahmed@gmail.com</t>
  </si>
  <si>
    <t>ahad@gmail.com</t>
  </si>
  <si>
    <t>bilal@gmail.com</t>
  </si>
  <si>
    <t>hamid@gmail.com</t>
  </si>
  <si>
    <t>danish@gmail.com</t>
  </si>
  <si>
    <t>waleed@gmail.com</t>
  </si>
  <si>
    <t>Karachi, Pakistan</t>
  </si>
  <si>
    <t>Product_Code</t>
  </si>
  <si>
    <t>Product_Name</t>
  </si>
  <si>
    <t>Cost</t>
  </si>
  <si>
    <t>Selling_Price</t>
  </si>
  <si>
    <t>N101</t>
  </si>
  <si>
    <t>N102</t>
  </si>
  <si>
    <t>N103</t>
  </si>
  <si>
    <t>N104</t>
  </si>
  <si>
    <t>N105</t>
  </si>
  <si>
    <t>N106</t>
  </si>
  <si>
    <t>N107</t>
  </si>
  <si>
    <t>N108</t>
  </si>
  <si>
    <t>N109</t>
  </si>
  <si>
    <t>N110</t>
  </si>
  <si>
    <t>Smart Watch</t>
  </si>
  <si>
    <t>Laptop HP</t>
  </si>
  <si>
    <t>Wireless Printer</t>
  </si>
  <si>
    <t>Desktop</t>
  </si>
  <si>
    <t>Mouse</t>
  </si>
  <si>
    <t>Rgb Keyboard</t>
  </si>
  <si>
    <t>Camera</t>
  </si>
  <si>
    <t>Headphone</t>
  </si>
  <si>
    <t>Speakers</t>
  </si>
  <si>
    <t>Tablets</t>
  </si>
  <si>
    <t>Vendor_ Name</t>
  </si>
  <si>
    <t>Wahaj</t>
  </si>
  <si>
    <t>Hanif</t>
  </si>
  <si>
    <t>Fahad</t>
  </si>
  <si>
    <t>Kareem</t>
  </si>
  <si>
    <t>Hammad</t>
  </si>
  <si>
    <t>Yasir</t>
  </si>
  <si>
    <t>Tahir</t>
  </si>
  <si>
    <t>Faizan</t>
  </si>
  <si>
    <t>Rashid</t>
  </si>
  <si>
    <t>Saad</t>
  </si>
  <si>
    <t>Phone_No</t>
  </si>
  <si>
    <t>0321xxxxxxxx</t>
  </si>
  <si>
    <t>0333xxxxxxxx</t>
  </si>
  <si>
    <t>0314xxxxxxxx</t>
  </si>
  <si>
    <t>Karachi, Pakistan.</t>
  </si>
  <si>
    <t>Prchase_Entry</t>
  </si>
  <si>
    <t>Sales_Entry</t>
  </si>
  <si>
    <t>Vendors</t>
  </si>
  <si>
    <t>Date</t>
  </si>
  <si>
    <t>Units</t>
  </si>
  <si>
    <t>Amount</t>
  </si>
  <si>
    <t>N111</t>
  </si>
  <si>
    <t>Adopter</t>
  </si>
  <si>
    <t>N112</t>
  </si>
  <si>
    <t>Wireless Mouse</t>
  </si>
  <si>
    <t>Affan</t>
  </si>
  <si>
    <t>Farhan</t>
  </si>
  <si>
    <t>0317xxxxxxxx</t>
  </si>
  <si>
    <t>N113</t>
  </si>
  <si>
    <t>N114</t>
  </si>
  <si>
    <t>Macbook</t>
  </si>
  <si>
    <t>Charger</t>
  </si>
  <si>
    <t>Sarim</t>
  </si>
  <si>
    <t>Rayyan</t>
  </si>
  <si>
    <t>0315xxxxxxxx</t>
  </si>
  <si>
    <t>Cust_Name</t>
  </si>
  <si>
    <t>Stock(Units)</t>
  </si>
  <si>
    <t>Price</t>
  </si>
  <si>
    <t>Purchased Units</t>
  </si>
  <si>
    <t>Sold Units</t>
  </si>
  <si>
    <t>Stock</t>
  </si>
  <si>
    <t>Stock Amount</t>
  </si>
  <si>
    <t>N115</t>
  </si>
  <si>
    <t>Apple Watch</t>
  </si>
  <si>
    <t>Taimur</t>
  </si>
  <si>
    <t>N116</t>
  </si>
  <si>
    <t>Lightening Cable</t>
  </si>
  <si>
    <t>Count of Cust_Name</t>
  </si>
  <si>
    <t>Number Of Customers</t>
  </si>
  <si>
    <t>Count of Product_Name</t>
  </si>
  <si>
    <t>Number Of Products</t>
  </si>
  <si>
    <t>Sum of Amount</t>
  </si>
  <si>
    <t>Purchased Amount</t>
  </si>
  <si>
    <t>Sales Amount</t>
  </si>
  <si>
    <t>Sum of Stock Amount</t>
  </si>
  <si>
    <t>Grand Total</t>
  </si>
  <si>
    <t>Profit / Loss</t>
  </si>
  <si>
    <t>Notification</t>
  </si>
  <si>
    <t xml:space="preserve">  Notification !</t>
  </si>
  <si>
    <t>Sum of Stock</t>
  </si>
  <si>
    <t>Products</t>
  </si>
  <si>
    <t>Customer Name</t>
  </si>
  <si>
    <t>Sales</t>
  </si>
  <si>
    <t>Units Sold</t>
  </si>
  <si>
    <t>Qsim</t>
  </si>
  <si>
    <t>qasim@gmail.com</t>
  </si>
  <si>
    <t>N117</t>
  </si>
  <si>
    <t>Iphone 13</t>
  </si>
  <si>
    <t>Saim</t>
  </si>
  <si>
    <t>0348xxxxxxxx</t>
  </si>
  <si>
    <t>N119</t>
  </si>
  <si>
    <t>Iphone 14</t>
  </si>
  <si>
    <t>Ebaad</t>
  </si>
  <si>
    <t>N120</t>
  </si>
  <si>
    <t>Tripod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</si>
</sst>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quot;Rs&quot;#,##0"/>
  </numFmts>
  <fonts count="13" x14ac:knownFonts="1">
    <font>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
      <b/>
      <sz val="11"/>
      <color theme="1"/>
      <name val="Calibri"/>
      <family val="2"/>
      <scheme val="minor"/>
    </font>
    <font>
      <sz val="12"/>
      <color theme="1"/>
      <name val="Calibri"/>
      <family val="2"/>
      <scheme val="minor"/>
    </font>
    <font>
      <sz val="22"/>
      <color theme="1"/>
      <name val="Calibri"/>
      <family val="2"/>
      <scheme val="minor"/>
    </font>
    <font>
      <b/>
      <sz val="12"/>
      <color theme="0"/>
      <name val="Calibri"/>
      <family val="2"/>
      <scheme val="minor"/>
    </font>
    <font>
      <b/>
      <u/>
      <sz val="22"/>
      <color theme="1"/>
      <name val="Calibri"/>
      <family val="2"/>
      <scheme val="minor"/>
    </font>
    <font>
      <sz val="10"/>
      <color theme="1"/>
      <name val="Calibri"/>
      <family val="2"/>
      <scheme val="minor"/>
    </font>
    <font>
      <sz val="10"/>
      <color rgb="FFFF0000"/>
      <name val="Calibri"/>
      <family val="2"/>
      <scheme val="minor"/>
    </font>
    <font>
      <b/>
      <sz val="10"/>
      <color rgb="FFFF0000"/>
      <name val="Calibri"/>
      <family val="2"/>
      <scheme val="minor"/>
    </font>
    <font>
      <b/>
      <sz val="11"/>
      <color rgb="FFFF0000"/>
      <name val="Calibri"/>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rgb="FFFFFF00"/>
        <bgColor indexed="64"/>
      </patternFill>
    </fill>
  </fills>
  <borders count="1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58">
    <xf numFmtId="0" fontId="0" fillId="0" borderId="0" xfId="0"/>
    <xf numFmtId="0" fontId="0" fillId="2" borderId="0" xfId="0" applyFill="1"/>
    <xf numFmtId="0" fontId="0" fillId="3" borderId="0" xfId="0" applyFill="1"/>
    <xf numFmtId="0" fontId="4" fillId="2" borderId="0" xfId="0" applyFont="1" applyFill="1"/>
    <xf numFmtId="0" fontId="5" fillId="2" borderId="0" xfId="0" applyFont="1" applyFill="1"/>
    <xf numFmtId="0" fontId="0" fillId="0" borderId="0" xfId="0" pivotButton="1"/>
    <xf numFmtId="0" fontId="0" fillId="0" borderId="0" xfId="0" applyAlignment="1">
      <alignment horizontal="left"/>
    </xf>
    <xf numFmtId="0" fontId="7" fillId="4" borderId="1" xfId="0" applyFont="1" applyFill="1" applyBorder="1" applyAlignment="1">
      <alignment horizontal="center"/>
    </xf>
    <xf numFmtId="0" fontId="5" fillId="5" borderId="2" xfId="0" applyFont="1" applyFill="1" applyBorder="1" applyAlignment="1">
      <alignment horizontal="center"/>
    </xf>
    <xf numFmtId="164" fontId="5" fillId="5" borderId="2" xfId="0" applyNumberFormat="1" applyFont="1" applyFill="1" applyBorder="1" applyAlignment="1">
      <alignment horizontal="center"/>
    </xf>
    <xf numFmtId="0" fontId="0" fillId="0" borderId="0" xfId="0" applyAlignment="1">
      <alignment horizontal="center"/>
    </xf>
    <xf numFmtId="0" fontId="9" fillId="3" borderId="0" xfId="0" applyFont="1" applyFill="1"/>
    <xf numFmtId="0" fontId="10" fillId="3" borderId="0" xfId="0" applyFont="1" applyFill="1"/>
    <xf numFmtId="0" fontId="11" fillId="3" borderId="0" xfId="0" applyFont="1" applyFill="1"/>
    <xf numFmtId="0" fontId="12" fillId="3" borderId="0" xfId="0" applyFont="1" applyFill="1"/>
    <xf numFmtId="0" fontId="0" fillId="0" borderId="5" xfId="0" applyBorder="1" applyAlignment="1">
      <alignment horizontal="left"/>
    </xf>
    <xf numFmtId="0" fontId="0" fillId="0" borderId="4" xfId="0" pivotButton="1" applyBorder="1"/>
    <xf numFmtId="0" fontId="0" fillId="0" borderId="1" xfId="0" applyBorder="1" applyAlignment="1">
      <alignment horizontal="left"/>
    </xf>
    <xf numFmtId="0" fontId="0" fillId="0" borderId="3" xfId="0"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4" xfId="0" applyBorder="1"/>
    <xf numFmtId="0" fontId="0" fillId="0" borderId="7" xfId="0" applyBorder="1" applyAlignment="1">
      <alignment horizontal="left"/>
    </xf>
    <xf numFmtId="0" fontId="0" fillId="0" borderId="4" xfId="0" applyBorder="1" applyAlignment="1">
      <alignment horizontal="center"/>
    </xf>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0" fillId="2" borderId="8" xfId="0" applyFill="1" applyBorder="1"/>
    <xf numFmtId="0" fontId="2" fillId="2" borderId="8" xfId="2" applyFill="1" applyBorder="1"/>
    <xf numFmtId="0" fontId="0" fillId="2" borderId="13" xfId="0" applyFill="1" applyBorder="1"/>
    <xf numFmtId="0" fontId="0" fillId="2" borderId="14" xfId="0" applyFill="1" applyBorder="1"/>
    <xf numFmtId="0" fontId="0" fillId="2" borderId="15" xfId="0" applyFill="1" applyBorder="1"/>
    <xf numFmtId="0" fontId="2" fillId="2" borderId="15" xfId="2" applyFill="1" applyBorder="1"/>
    <xf numFmtId="0" fontId="0" fillId="2" borderId="16" xfId="0" applyFill="1" applyBorder="1"/>
    <xf numFmtId="0" fontId="4" fillId="2" borderId="9" xfId="0" applyFont="1" applyFill="1" applyBorder="1"/>
    <xf numFmtId="0" fontId="4" fillId="2" borderId="10" xfId="0" applyFont="1" applyFill="1" applyBorder="1"/>
    <xf numFmtId="0" fontId="4" fillId="2" borderId="11" xfId="0" applyFont="1" applyFill="1" applyBorder="1"/>
    <xf numFmtId="14" fontId="0" fillId="2" borderId="8" xfId="0" applyNumberFormat="1" applyFill="1" applyBorder="1"/>
    <xf numFmtId="43" fontId="0" fillId="2" borderId="8" xfId="1" applyFont="1" applyFill="1" applyBorder="1"/>
    <xf numFmtId="14" fontId="0" fillId="2" borderId="15" xfId="0" applyNumberFormat="1" applyFill="1" applyBorder="1"/>
    <xf numFmtId="0" fontId="0" fillId="0" borderId="17" xfId="0" pivotButton="1" applyBorder="1"/>
    <xf numFmtId="0" fontId="0" fillId="0" borderId="6" xfId="0" applyBorder="1" applyAlignment="1">
      <alignment horizontal="left"/>
    </xf>
    <xf numFmtId="0" fontId="0" fillId="0" borderId="17" xfId="0" applyBorder="1" applyAlignment="1">
      <alignment horizontal="left"/>
    </xf>
    <xf numFmtId="0" fontId="0" fillId="0" borderId="17" xfId="0" applyBorder="1"/>
    <xf numFmtId="0" fontId="12" fillId="2" borderId="0" xfId="0" applyFont="1" applyFill="1"/>
    <xf numFmtId="0" fontId="9" fillId="2" borderId="0" xfId="0" applyFont="1" applyFill="1"/>
    <xf numFmtId="0" fontId="0" fillId="0" borderId="7" xfId="0" applyBorder="1"/>
    <xf numFmtId="0" fontId="0" fillId="0" borderId="6" xfId="0" applyBorder="1"/>
    <xf numFmtId="0" fontId="0" fillId="0" borderId="2" xfId="0" applyBorder="1"/>
    <xf numFmtId="0" fontId="0" fillId="0" borderId="1" xfId="0" applyBorder="1"/>
    <xf numFmtId="0" fontId="0" fillId="0" borderId="3" xfId="0" applyBorder="1"/>
    <xf numFmtId="0" fontId="4" fillId="6" borderId="0" xfId="0" applyFont="1" applyFill="1" applyAlignment="1">
      <alignment horizontal="left" vertical="top"/>
    </xf>
    <xf numFmtId="0" fontId="8" fillId="3" borderId="0" xfId="2" applyFont="1" applyFill="1" applyAlignment="1">
      <alignment horizontal="center"/>
    </xf>
    <xf numFmtId="0" fontId="7" fillId="4" borderId="1" xfId="0" applyFont="1" applyFill="1" applyBorder="1" applyAlignment="1">
      <alignment horizontal="center" vertical="center"/>
    </xf>
    <xf numFmtId="0" fontId="7" fillId="4" borderId="3" xfId="0" applyFont="1" applyFill="1" applyBorder="1" applyAlignment="1">
      <alignment horizontal="center" vertical="center"/>
    </xf>
    <xf numFmtId="164" fontId="6" fillId="5" borderId="3" xfId="0" applyNumberFormat="1" applyFont="1" applyFill="1" applyBorder="1" applyAlignment="1">
      <alignment horizontal="center" vertical="center"/>
    </xf>
    <xf numFmtId="164" fontId="6" fillId="5" borderId="2" xfId="0" applyNumberFormat="1" applyFont="1" applyFill="1" applyBorder="1" applyAlignment="1">
      <alignment horizontal="center" vertical="center"/>
    </xf>
  </cellXfs>
  <cellStyles count="3">
    <cellStyle name="Comma" xfId="1" builtinId="3"/>
    <cellStyle name="Hyperlink" xfId="2" builtinId="8"/>
    <cellStyle name="Normal" xfId="0" builtinId="0"/>
  </cellStyles>
  <dxfs count="94">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numFmt numFmtId="0" formatCode="General"/>
      <fill>
        <patternFill patternType="solid">
          <fgColor indexed="64"/>
          <bgColor theme="2" tint="-9.9978637043366805E-2"/>
        </patternFill>
      </fill>
    </dxf>
    <dxf>
      <numFmt numFmtId="0" formatCode="General"/>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2" tint="-9.9978637043366805E-2"/>
        </patternFill>
      </fill>
    </dxf>
    <dxf>
      <border>
        <bottom style="thin">
          <color indexed="64"/>
        </bottom>
      </border>
    </dxf>
    <dxf>
      <fill>
        <patternFill patternType="solid">
          <fgColor indexed="64"/>
          <bgColor theme="2" tint="-9.9978637043366805E-2"/>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2" tint="-9.9978637043366805E-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2" tint="-9.9978637043366805E-2"/>
        </patternFill>
      </fill>
    </dxf>
    <dxf>
      <fill>
        <patternFill patternType="solid">
          <fgColor indexed="64"/>
          <bgColor theme="2" tint="-9.9978637043366805E-2"/>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dxf>
    <dxf>
      <font>
        <b val="0"/>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2" tint="-9.9978637043366805E-2"/>
        </patternFill>
      </fill>
    </dxf>
    <dxf>
      <border>
        <bottom style="thin">
          <color indexed="64"/>
        </bottom>
      </border>
    </dxf>
    <dxf>
      <fill>
        <patternFill patternType="solid">
          <fgColor indexed="64"/>
          <bgColor theme="2" tint="-9.9978637043366805E-2"/>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2" tint="-9.9978637043366805E-2"/>
        </patternFill>
      </fill>
      <border diagonalUp="0" diagonalDown="0" outline="0">
        <left style="thin">
          <color indexed="64"/>
        </left>
        <right/>
        <top style="thin">
          <color indexed="64"/>
        </top>
        <bottom style="thin">
          <color indexed="64"/>
        </bottom>
      </border>
    </dxf>
    <dxf>
      <fill>
        <patternFill patternType="solid">
          <fgColor indexed="64"/>
          <bgColor theme="2" tint="-9.9978637043366805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2" tint="-9.9978637043366805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2" tint="-9.9978637043366805E-2"/>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2" tint="-9.9978637043366805E-2"/>
        </patternFill>
      </fill>
    </dxf>
    <dxf>
      <border>
        <bottom style="thin">
          <color indexed="64"/>
        </bottom>
      </border>
    </dxf>
    <dxf>
      <fill>
        <patternFill patternType="solid">
          <fgColor indexed="64"/>
          <bgColor theme="2" tint="-9.9978637043366805E-2"/>
        </patternFill>
      </fill>
      <border diagonalUp="0" diagonalDown="0" outline="0">
        <left style="thin">
          <color indexed="64"/>
        </left>
        <right style="thin">
          <color indexed="64"/>
        </right>
        <top/>
        <bottom/>
      </border>
    </dxf>
    <dxf>
      <fill>
        <patternFill patternType="solid">
          <fgColor indexed="64"/>
          <bgColor theme="2" tint="-9.9978637043366805E-2"/>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9.9978637043366805E-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2" tint="-9.9978637043366805E-2"/>
        </patternFill>
      </fill>
    </dxf>
    <dxf>
      <border>
        <bottom style="thin">
          <color indexed="64"/>
        </bottom>
      </border>
    </dxf>
    <dxf>
      <fill>
        <patternFill patternType="solid">
          <fgColor indexed="64"/>
          <bgColor theme="2" tint="-9.9978637043366805E-2"/>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System.xlsx]PIVOTS!PivotTable6</c:name>
    <c:fmtId val="5"/>
  </c:pivotSource>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US" sz="1100" b="1">
                <a:solidFill>
                  <a:schemeClr val="bg1"/>
                </a:solidFill>
              </a:rPr>
              <a:t>Top</a:t>
            </a:r>
            <a:r>
              <a:rPr lang="en-US" sz="1100" b="1" baseline="0">
                <a:solidFill>
                  <a:schemeClr val="bg1"/>
                </a:solidFill>
              </a:rPr>
              <a:t> 5 </a:t>
            </a:r>
          </a:p>
          <a:p>
            <a:pPr>
              <a:defRPr sz="1100" b="1">
                <a:solidFill>
                  <a:schemeClr val="bg1"/>
                </a:solidFill>
              </a:defRPr>
            </a:pPr>
            <a:r>
              <a:rPr lang="en-US" sz="1100" b="1" baseline="0">
                <a:solidFill>
                  <a:schemeClr val="bg1"/>
                </a:solidFill>
              </a:rPr>
              <a:t>Selling Products</a:t>
            </a:r>
          </a:p>
        </c:rich>
      </c:tx>
      <c:layout>
        <c:manualLayout>
          <c:xMode val="edge"/>
          <c:yMode val="edge"/>
          <c:x val="2.1231422505307856E-4"/>
          <c:y val="0"/>
        </c:manualLayout>
      </c:layout>
      <c:overlay val="0"/>
      <c:spPr>
        <a:solidFill>
          <a:schemeClr val="bg2">
            <a:lumMod val="50000"/>
          </a:schemeClr>
        </a:solidFill>
        <a:ln>
          <a:solidFill>
            <a:schemeClr val="tx1"/>
          </a:solid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PK"/>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lumMod val="40000"/>
              <a:lumOff val="60000"/>
            </a:schemeClr>
          </a:solidFill>
          <a:ln w="19050">
            <a:solidFill>
              <a:schemeClr val="bg1"/>
            </a:solidFill>
          </a:ln>
          <a:effectLst/>
        </c:spPr>
        <c:dLbl>
          <c:idx val="0"/>
          <c:layout>
            <c:manualLayout>
              <c:x val="-0.21086438963267617"/>
              <c:y val="0.3190068207216348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4">
              <a:lumMod val="60000"/>
              <a:lumOff val="40000"/>
            </a:schemeClr>
          </a:solidFill>
          <a:ln w="19050">
            <a:solidFill>
              <a:schemeClr val="bg1"/>
            </a:solidFill>
          </a:ln>
          <a:effectLst/>
        </c:spPr>
        <c:dLbl>
          <c:idx val="0"/>
          <c:layout>
            <c:manualLayout>
              <c:x val="-9.3835948651185663E-2"/>
              <c:y val="-9.0832487700864464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456492301519637"/>
                  <c:h val="0.22011842023684047"/>
                </c:manualLayout>
              </c15:layout>
            </c:ext>
          </c:extLst>
        </c:dLbl>
      </c:pivotFmt>
      <c:pivotFmt>
        <c:idx val="10"/>
        <c:spPr>
          <a:solidFill>
            <a:schemeClr val="accent1"/>
          </a:solidFill>
          <a:ln w="19050">
            <a:solidFill>
              <a:schemeClr val="bg1"/>
            </a:solidFill>
          </a:ln>
          <a:effectLst/>
        </c:spPr>
        <c:dLbl>
          <c:idx val="0"/>
          <c:layout>
            <c:manualLayout>
              <c:x val="0.20670417883955811"/>
              <c:y val="4.56769983686786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4">
              <a:lumMod val="75000"/>
            </a:schemeClr>
          </a:solidFill>
          <a:ln w="19050">
            <a:solidFill>
              <a:schemeClr val="bg1"/>
            </a:solidFill>
          </a:ln>
          <a:effectLst/>
        </c:spPr>
        <c:dLbl>
          <c:idx val="0"/>
          <c:layout>
            <c:manualLayout>
              <c:x val="0.14012738853503184"/>
              <c:y val="5.51181102362204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4">
              <a:lumMod val="50000"/>
            </a:schemeClr>
          </a:solidFill>
          <a:ln w="19050">
            <a:solidFill>
              <a:schemeClr val="bg1"/>
            </a:solidFill>
          </a:ln>
          <a:effectLst/>
        </c:spPr>
        <c:dLbl>
          <c:idx val="0"/>
          <c:layout>
            <c:manualLayout>
              <c:x val="2.8281926542621662E-2"/>
              <c:y val="4.724409448818897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4">
              <a:lumMod val="50000"/>
            </a:schemeClr>
          </a:solidFill>
          <a:ln w="19050">
            <a:solidFill>
              <a:schemeClr val="bg1"/>
            </a:solidFill>
          </a:ln>
          <a:effectLst/>
        </c:spPr>
        <c:dLbl>
          <c:idx val="0"/>
          <c:layout>
            <c:manualLayout>
              <c:x val="7.5431987830060332E-2"/>
              <c:y val="0.106883662380701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33753078942055315"/>
          <c:y val="8.8490296980593949E-2"/>
          <c:w val="0.48325526616865194"/>
          <c:h val="0.88001364002728011"/>
        </c:manualLayout>
      </c:layout>
      <c:pieChart>
        <c:varyColors val="1"/>
        <c:ser>
          <c:idx val="0"/>
          <c:order val="0"/>
          <c:tx>
            <c:strRef>
              <c:f>PIVOTS!$C$9</c:f>
              <c:strCache>
                <c:ptCount val="1"/>
                <c:pt idx="0">
                  <c:v>Total</c:v>
                </c:pt>
              </c:strCache>
            </c:strRef>
          </c:tx>
          <c:spPr>
            <a:ln>
              <a:solidFill>
                <a:schemeClr val="bg1"/>
              </a:solidFill>
            </a:ln>
          </c:spPr>
          <c:dPt>
            <c:idx val="0"/>
            <c:bubble3D val="0"/>
            <c:spPr>
              <a:solidFill>
                <a:schemeClr val="accent4">
                  <a:lumMod val="75000"/>
                </a:schemeClr>
              </a:solidFill>
              <a:ln w="19050">
                <a:solidFill>
                  <a:schemeClr val="bg1"/>
                </a:solidFill>
              </a:ln>
              <a:effectLst/>
            </c:spPr>
            <c:extLst>
              <c:ext xmlns:c16="http://schemas.microsoft.com/office/drawing/2014/chart" uri="{C3380CC4-5D6E-409C-BE32-E72D297353CC}">
                <c16:uniqueId val="{00000001-B7F9-46A7-9A54-B7462BD38934}"/>
              </c:ext>
            </c:extLst>
          </c:dPt>
          <c:dPt>
            <c:idx val="1"/>
            <c:bubble3D val="0"/>
            <c:spPr>
              <a:solidFill>
                <a:schemeClr val="accent4">
                  <a:lumMod val="60000"/>
                  <a:lumOff val="40000"/>
                </a:schemeClr>
              </a:solidFill>
              <a:ln w="19050">
                <a:solidFill>
                  <a:schemeClr val="bg1"/>
                </a:solidFill>
              </a:ln>
              <a:effectLst/>
            </c:spPr>
            <c:extLst>
              <c:ext xmlns:c16="http://schemas.microsoft.com/office/drawing/2014/chart" uri="{C3380CC4-5D6E-409C-BE32-E72D297353CC}">
                <c16:uniqueId val="{00000003-B7F9-46A7-9A54-B7462BD38934}"/>
              </c:ext>
            </c:extLst>
          </c:dPt>
          <c:dPt>
            <c:idx val="2"/>
            <c:bubble3D val="0"/>
            <c:spPr>
              <a:solidFill>
                <a:schemeClr val="accent4">
                  <a:lumMod val="40000"/>
                  <a:lumOff val="60000"/>
                </a:schemeClr>
              </a:solidFill>
              <a:ln w="19050">
                <a:solidFill>
                  <a:schemeClr val="bg1"/>
                </a:solidFill>
              </a:ln>
              <a:effectLst/>
            </c:spPr>
            <c:extLst>
              <c:ext xmlns:c16="http://schemas.microsoft.com/office/drawing/2014/chart" uri="{C3380CC4-5D6E-409C-BE32-E72D297353CC}">
                <c16:uniqueId val="{00000005-B7F9-46A7-9A54-B7462BD38934}"/>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B7F9-46A7-9A54-B7462BD38934}"/>
              </c:ext>
            </c:extLst>
          </c:dPt>
          <c:dPt>
            <c:idx val="4"/>
            <c:bubble3D val="0"/>
            <c:spPr>
              <a:solidFill>
                <a:schemeClr val="accent4">
                  <a:lumMod val="50000"/>
                </a:schemeClr>
              </a:solidFill>
              <a:ln w="19050">
                <a:solidFill>
                  <a:schemeClr val="bg1"/>
                </a:solidFill>
              </a:ln>
              <a:effectLst/>
            </c:spPr>
            <c:extLst>
              <c:ext xmlns:c16="http://schemas.microsoft.com/office/drawing/2014/chart" uri="{C3380CC4-5D6E-409C-BE32-E72D297353CC}">
                <c16:uniqueId val="{00000009-B7F9-46A7-9A54-B7462BD38934}"/>
              </c:ext>
            </c:extLst>
          </c:dPt>
          <c:dLbls>
            <c:dLbl>
              <c:idx val="0"/>
              <c:layout>
                <c:manualLayout>
                  <c:x val="0.14012738853503184"/>
                  <c:y val="5.511811023622047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7F9-46A7-9A54-B7462BD38934}"/>
                </c:ext>
              </c:extLst>
            </c:dLbl>
            <c:dLbl>
              <c:idx val="1"/>
              <c:layout>
                <c:manualLayout>
                  <c:x val="-9.3835948651185663E-2"/>
                  <c:y val="-9.0832487700864464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PK"/>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456492301519637"/>
                      <c:h val="0.22011842023684047"/>
                    </c:manualLayout>
                  </c15:layout>
                </c:ext>
                <c:ext xmlns:c16="http://schemas.microsoft.com/office/drawing/2014/chart" uri="{C3380CC4-5D6E-409C-BE32-E72D297353CC}">
                  <c16:uniqueId val="{00000003-B7F9-46A7-9A54-B7462BD38934}"/>
                </c:ext>
              </c:extLst>
            </c:dLbl>
            <c:dLbl>
              <c:idx val="2"/>
              <c:layout>
                <c:manualLayout>
                  <c:x val="-0.21086438963267617"/>
                  <c:y val="0.3190068207216348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7F9-46A7-9A54-B7462BD38934}"/>
                </c:ext>
              </c:extLst>
            </c:dLbl>
            <c:dLbl>
              <c:idx val="3"/>
              <c:layout>
                <c:manualLayout>
                  <c:x val="0.20670417883955811"/>
                  <c:y val="4.567699836867863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7F9-46A7-9A54-B7462BD38934}"/>
                </c:ext>
              </c:extLst>
            </c:dLbl>
            <c:dLbl>
              <c:idx val="4"/>
              <c:layout>
                <c:manualLayout>
                  <c:x val="7.5431987830060332E-2"/>
                  <c:y val="0.1068836623807016"/>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B7F9-46A7-9A54-B7462BD3893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PK"/>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PIVOTS!$B$10:$B$15</c:f>
              <c:strCache>
                <c:ptCount val="5"/>
                <c:pt idx="0">
                  <c:v>Laptop HP</c:v>
                </c:pt>
                <c:pt idx="1">
                  <c:v>Wireless Printer</c:v>
                </c:pt>
                <c:pt idx="2">
                  <c:v>Camera</c:v>
                </c:pt>
                <c:pt idx="3">
                  <c:v>Adopter</c:v>
                </c:pt>
                <c:pt idx="4">
                  <c:v>Desktop</c:v>
                </c:pt>
              </c:strCache>
            </c:strRef>
          </c:cat>
          <c:val>
            <c:numRef>
              <c:f>PIVOTS!$C$10:$C$15</c:f>
              <c:numCache>
                <c:formatCode>General</c:formatCode>
                <c:ptCount val="5"/>
                <c:pt idx="0">
                  <c:v>11</c:v>
                </c:pt>
                <c:pt idx="1">
                  <c:v>8</c:v>
                </c:pt>
                <c:pt idx="2">
                  <c:v>7</c:v>
                </c:pt>
                <c:pt idx="3">
                  <c:v>6</c:v>
                </c:pt>
                <c:pt idx="4">
                  <c:v>6</c:v>
                </c:pt>
              </c:numCache>
            </c:numRef>
          </c:val>
          <c:extLst>
            <c:ext xmlns:c16="http://schemas.microsoft.com/office/drawing/2014/chart" uri="{C3380CC4-5D6E-409C-BE32-E72D297353CC}">
              <c16:uniqueId val="{0000000A-B7F9-46A7-9A54-B7462BD38934}"/>
            </c:ext>
          </c:extLst>
        </c:ser>
        <c:dLbls>
          <c:showLegendKey val="0"/>
          <c:showVal val="0"/>
          <c:showCatName val="0"/>
          <c:showSerName val="0"/>
          <c:showPercent val="0"/>
          <c:showBubbleSize val="0"/>
          <c:showLeaderLines val="1"/>
        </c:dLbls>
        <c:firstSliceAng val="102"/>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System.xlsx]PIVOTS!PivotTable7</c:name>
    <c:fmtId val="2"/>
  </c:pivotSource>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US" sz="1100" b="1">
                <a:solidFill>
                  <a:schemeClr val="bg1"/>
                </a:solidFill>
              </a:rPr>
              <a:t>Top</a:t>
            </a:r>
            <a:r>
              <a:rPr lang="en-US" sz="1100" b="1" baseline="0">
                <a:solidFill>
                  <a:schemeClr val="bg1"/>
                </a:solidFill>
              </a:rPr>
              <a:t> 5</a:t>
            </a:r>
          </a:p>
          <a:p>
            <a:pPr>
              <a:defRPr sz="1100" b="1">
                <a:solidFill>
                  <a:schemeClr val="bg1"/>
                </a:solidFill>
              </a:defRPr>
            </a:pPr>
            <a:r>
              <a:rPr lang="en-US" sz="1100" b="1" baseline="0">
                <a:solidFill>
                  <a:schemeClr val="bg1"/>
                </a:solidFill>
              </a:rPr>
              <a:t>Customers</a:t>
            </a:r>
            <a:endParaRPr lang="en-US" sz="1100" b="1">
              <a:solidFill>
                <a:schemeClr val="bg1"/>
              </a:solidFill>
            </a:endParaRPr>
          </a:p>
        </c:rich>
      </c:tx>
      <c:layout>
        <c:manualLayout>
          <c:xMode val="edge"/>
          <c:yMode val="edge"/>
          <c:x val="0.85796178343949059"/>
          <c:y val="0"/>
        </c:manualLayout>
      </c:layout>
      <c:overlay val="0"/>
      <c:spPr>
        <a:solidFill>
          <a:schemeClr val="bg2">
            <a:lumMod val="50000"/>
          </a:schemeClr>
        </a:solidFill>
        <a:ln>
          <a:solidFill>
            <a:schemeClr val="tx1"/>
          </a:solid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quot;Rs&quot;\ 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lumMod val="40000"/>
              <a:lumOff val="60000"/>
            </a:schemeClr>
          </a:solidFill>
          <a:ln w="19050">
            <a:solidFill>
              <a:schemeClr val="lt1"/>
            </a:solidFill>
          </a:ln>
          <a:effectLst/>
        </c:spPr>
        <c:dLbl>
          <c:idx val="0"/>
          <c:layout>
            <c:manualLayout>
              <c:x val="0.24816914993237399"/>
              <c:y val="5.9830071819365394E-2"/>
            </c:manualLayout>
          </c:layout>
          <c:numFmt formatCode="&quot;Rs&quot;\ 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dLbl>
          <c:idx val="0"/>
          <c:layout>
            <c:manualLayout>
              <c:x val="-0.15628768399549262"/>
              <c:y val="0.18476466176164388"/>
            </c:manualLayout>
          </c:layout>
          <c:numFmt formatCode="&quot;Rs&quot;\ 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9532908704883228"/>
              <c:y val="7.8431372549019607E-2"/>
            </c:manualLayout>
          </c:layout>
          <c:numFmt formatCode="&quot;Rs&quot;\ 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4">
              <a:lumMod val="75000"/>
            </a:schemeClr>
          </a:solidFill>
          <a:ln w="19050">
            <a:solidFill>
              <a:schemeClr val="lt1"/>
            </a:solidFill>
          </a:ln>
          <a:effectLst/>
        </c:spPr>
        <c:dLbl>
          <c:idx val="0"/>
          <c:layout>
            <c:manualLayout>
              <c:x val="0.27331391122323101"/>
              <c:y val="-2.5085352913287463E-7"/>
            </c:manualLayout>
          </c:layout>
          <c:numFmt formatCode="&quot;Rs&quot;\ 0.00,&quot;k&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layout>
                <c:manualLayout>
                  <c:w val="0.2073036093418259"/>
                  <c:h val="0.25580423035355876"/>
                </c:manualLayout>
              </c15:layout>
            </c:ext>
          </c:extLst>
        </c:dLbl>
      </c:pivotFmt>
      <c:pivotFmt>
        <c:idx val="12"/>
        <c:spPr>
          <a:solidFill>
            <a:schemeClr val="accent4">
              <a:lumMod val="50000"/>
            </a:schemeClr>
          </a:solidFill>
          <a:ln w="19050">
            <a:solidFill>
              <a:schemeClr val="lt1"/>
            </a:solidFill>
          </a:ln>
          <a:effectLst/>
        </c:spPr>
        <c:dLbl>
          <c:idx val="0"/>
          <c:layout>
            <c:manualLayout>
              <c:x val="-0.20806794055201699"/>
              <c:y val="-0.10196078431372549"/>
            </c:manualLayout>
          </c:layout>
          <c:numFmt formatCode="&quot;Rs&quot;\ 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4">
              <a:lumMod val="50000"/>
            </a:schemeClr>
          </a:solidFill>
          <a:ln w="19050">
            <a:solidFill>
              <a:schemeClr val="lt1"/>
            </a:solidFill>
          </a:ln>
          <a:effectLst/>
        </c:spPr>
        <c:dLbl>
          <c:idx val="0"/>
          <c:layout>
            <c:manualLayout>
              <c:x val="0.3113742408452736"/>
              <c:y val="0.19917569530326934"/>
            </c:manualLayout>
          </c:layout>
          <c:numFmt formatCode="&quot;Rs&quot;\ 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5252735886827704"/>
          <c:y val="7.8431421368771598E-2"/>
          <c:w val="0.46131634819532907"/>
          <c:h val="0.85207843137254902"/>
        </c:manualLayout>
      </c:layout>
      <c:doughnutChart>
        <c:varyColors val="1"/>
        <c:ser>
          <c:idx val="0"/>
          <c:order val="0"/>
          <c:tx>
            <c:strRef>
              <c:f>PIVOTS!$E$9</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CC04-4686-9B4C-B50C4EE57E0B}"/>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CC04-4686-9B4C-B50C4EE57E0B}"/>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CC04-4686-9B4C-B50C4EE57E0B}"/>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CC04-4686-9B4C-B50C4EE57E0B}"/>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09-CC04-4686-9B4C-B50C4EE57E0B}"/>
              </c:ext>
            </c:extLst>
          </c:dPt>
          <c:dLbls>
            <c:dLbl>
              <c:idx val="0"/>
              <c:layout>
                <c:manualLayout>
                  <c:x val="0.3113742408452736"/>
                  <c:y val="0.1991756953032693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CC04-4686-9B4C-B50C4EE57E0B}"/>
                </c:ext>
              </c:extLst>
            </c:dLbl>
            <c:dLbl>
              <c:idx val="1"/>
              <c:layout>
                <c:manualLayout>
                  <c:x val="0.24816914993237399"/>
                  <c:y val="5.983007181936539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C04-4686-9B4C-B50C4EE57E0B}"/>
                </c:ext>
              </c:extLst>
            </c:dLbl>
            <c:dLbl>
              <c:idx val="2"/>
              <c:layout>
                <c:manualLayout>
                  <c:x val="0.27331391122323101"/>
                  <c:y val="-2.5085352913287463E-7"/>
                </c:manualLayout>
              </c:layout>
              <c:numFmt formatCode="&quot;Rs&quot;\ 0.00,&quot;k&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layout>
                    <c:manualLayout>
                      <c:w val="0.2073036093418259"/>
                      <c:h val="0.25580423035355876"/>
                    </c:manualLayout>
                  </c15:layout>
                </c:ext>
                <c:ext xmlns:c16="http://schemas.microsoft.com/office/drawing/2014/chart" uri="{C3380CC4-5D6E-409C-BE32-E72D297353CC}">
                  <c16:uniqueId val="{00000005-CC04-4686-9B4C-B50C4EE57E0B}"/>
                </c:ext>
              </c:extLst>
            </c:dLbl>
            <c:dLbl>
              <c:idx val="3"/>
              <c:layout>
                <c:manualLayout>
                  <c:x val="-0.15628768399549262"/>
                  <c:y val="0.1847646617616438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CC04-4686-9B4C-B50C4EE57E0B}"/>
                </c:ext>
              </c:extLst>
            </c:dLbl>
            <c:dLbl>
              <c:idx val="4"/>
              <c:layout>
                <c:manualLayout>
                  <c:x val="-0.19532908704883228"/>
                  <c:y val="7.843137254901960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CC04-4686-9B4C-B50C4EE57E0B}"/>
                </c:ext>
              </c:extLst>
            </c:dLbl>
            <c:numFmt formatCode="&quot;Rs&quot;\ 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PIVOTS!$D$10:$D$15</c:f>
              <c:strCache>
                <c:ptCount val="5"/>
                <c:pt idx="0">
                  <c:v>Qsim</c:v>
                </c:pt>
                <c:pt idx="1">
                  <c:v>Bilal</c:v>
                </c:pt>
                <c:pt idx="2">
                  <c:v>Ali</c:v>
                </c:pt>
                <c:pt idx="3">
                  <c:v>Waleed</c:v>
                </c:pt>
                <c:pt idx="4">
                  <c:v>Hamid</c:v>
                </c:pt>
              </c:strCache>
            </c:strRef>
          </c:cat>
          <c:val>
            <c:numRef>
              <c:f>PIVOTS!$E$10:$E$15</c:f>
              <c:numCache>
                <c:formatCode>General</c:formatCode>
                <c:ptCount val="5"/>
                <c:pt idx="0">
                  <c:v>795000</c:v>
                </c:pt>
                <c:pt idx="1">
                  <c:v>690250</c:v>
                </c:pt>
                <c:pt idx="2">
                  <c:v>565000</c:v>
                </c:pt>
                <c:pt idx="3">
                  <c:v>537000</c:v>
                </c:pt>
                <c:pt idx="4">
                  <c:v>349000</c:v>
                </c:pt>
              </c:numCache>
            </c:numRef>
          </c:val>
          <c:extLst>
            <c:ext xmlns:c16="http://schemas.microsoft.com/office/drawing/2014/chart" uri="{C3380CC4-5D6E-409C-BE32-E72D297353CC}">
              <c16:uniqueId val="{0000000A-CC04-4686-9B4C-B50C4EE57E0B}"/>
            </c:ext>
          </c:extLst>
        </c:ser>
        <c:dLbls>
          <c:showLegendKey val="0"/>
          <c:showVal val="1"/>
          <c:showCatName val="0"/>
          <c:showSerName val="0"/>
          <c:showPercent val="0"/>
          <c:showBubbleSize val="0"/>
          <c:showLeaderLines val="1"/>
        </c:dLbls>
        <c:firstSliceAng val="323"/>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System.xlsx]PIVOTS!PivotTable8</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a:solidFill>
                  <a:schemeClr val="bg1"/>
                </a:solidFill>
              </a:rPr>
              <a:t>Units In Stock</a:t>
            </a:r>
          </a:p>
        </c:rich>
      </c:tx>
      <c:layout>
        <c:manualLayout>
          <c:xMode val="edge"/>
          <c:yMode val="edge"/>
          <c:x val="0.4702385892081517"/>
          <c:y val="1.0868479952074685E-3"/>
        </c:manualLayout>
      </c:layout>
      <c:overlay val="0"/>
      <c:spPr>
        <a:solidFill>
          <a:schemeClr val="bg2">
            <a:lumMod val="50000"/>
          </a:schemeClr>
        </a:solidFill>
        <a:ln>
          <a:solidFill>
            <a:schemeClr val="tx1"/>
          </a:solid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dLbl>
          <c:idx val="0"/>
          <c:layout>
            <c:manualLayout>
              <c:x val="-3.2419311275805694E-18"/>
              <c:y val="-0.11439014480212788"/>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dLbl>
          <c:idx val="0"/>
          <c:layout>
            <c:manualLayout>
              <c:x val="0"/>
              <c:y val="-0.24727724475506269"/>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1.6356687603506335E-17"/>
              <c:y val="-0.21947932142751619"/>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dLbl>
          <c:idx val="0"/>
          <c:layout>
            <c:manualLayout>
              <c:x val="0"/>
              <c:y val="-0.39086603821830768"/>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dLbl>
          <c:idx val="0"/>
          <c:layout>
            <c:manualLayout>
              <c:x val="0"/>
              <c:y val="-0.11849427616336239"/>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dLbl>
          <c:idx val="0"/>
          <c:layout>
            <c:manualLayout>
              <c:x val="0"/>
              <c:y val="-0.2742161464344644"/>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0"/>
              <c:y val="-0.14080723622902186"/>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dLbl>
          <c:idx val="0"/>
          <c:layout>
            <c:manualLayout>
              <c:x val="0"/>
              <c:y val="-0.29128967999521233"/>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dLbl>
          <c:idx val="0"/>
          <c:layout>
            <c:manualLayout>
              <c:x val="0"/>
              <c:y val="-0.20626468198168965"/>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dLbl>
          <c:idx val="0"/>
          <c:layout>
            <c:manualLayout>
              <c:x val="-1.0374179608257822E-16"/>
              <c:y val="-0.23161025457550871"/>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0"/>
              <c:y val="-0.28569357169116077"/>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a:noFill/>
          </a:ln>
          <a:effectLst/>
        </c:spPr>
        <c:dLbl>
          <c:idx val="0"/>
          <c:layout>
            <c:manualLayout>
              <c:x val="0"/>
              <c:y val="-0.43255003548009269"/>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40000"/>
              <a:lumOff val="60000"/>
            </a:schemeClr>
          </a:solidFill>
          <a:ln>
            <a:noFill/>
          </a:ln>
          <a:effectLst/>
        </c:spPr>
        <c:dLbl>
          <c:idx val="0"/>
          <c:layout>
            <c:manualLayout>
              <c:x val="0"/>
              <c:y val="-0.17579584314443325"/>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c:spPr>
        <c:dLbl>
          <c:idx val="0"/>
          <c:layout>
            <c:manualLayout>
              <c:x val="1.4146771979544437E-3"/>
              <c:y val="-0.22506455218395777"/>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dLbl>
          <c:idx val="0"/>
          <c:layout>
            <c:manualLayout>
              <c:x val="0"/>
              <c:y val="-0.38370206428315873"/>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75000"/>
            </a:schemeClr>
          </a:solidFill>
          <a:ln>
            <a:noFill/>
          </a:ln>
          <a:effectLst/>
        </c:spPr>
        <c:dLbl>
          <c:idx val="0"/>
          <c:layout>
            <c:manualLayout>
              <c:x val="0"/>
              <c:y val="-0.12319586699615322"/>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a:noFill/>
          </a:ln>
          <a:effectLst/>
        </c:spPr>
        <c:dLbl>
          <c:idx val="0"/>
          <c:layout>
            <c:manualLayout>
              <c:x val="-1.1661537732605772E-3"/>
              <c:y val="-0.24569308117095237"/>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dLbl>
          <c:idx val="0"/>
          <c:layout>
            <c:manualLayout>
              <c:x val="-1.7843865335298876E-3"/>
              <c:y val="-0.22313211823914328"/>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302271465539424E-3"/>
          <c:y val="7.6783875459107392E-2"/>
          <c:w val="0.99258107631982972"/>
          <c:h val="0.73278117033216961"/>
        </c:manualLayout>
      </c:layout>
      <c:barChart>
        <c:barDir val="col"/>
        <c:grouping val="stacked"/>
        <c:varyColors val="0"/>
        <c:ser>
          <c:idx val="0"/>
          <c:order val="0"/>
          <c:tx>
            <c:strRef>
              <c:f>PIVOTS!$I$2</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2-08A8-48E8-A42E-8AEAA663E9BB}"/>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08A8-48E8-A42E-8AEAA663E9BB}"/>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4-08A8-48E8-A42E-8AEAA663E9BB}"/>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08A8-48E8-A42E-8AEAA663E9BB}"/>
              </c:ext>
            </c:extLst>
          </c:dPt>
          <c:dPt>
            <c:idx val="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6-08A8-48E8-A42E-8AEAA663E9BB}"/>
              </c:ext>
            </c:extLst>
          </c:dPt>
          <c:dPt>
            <c:idx val="5"/>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08A8-48E8-A42E-8AEAA663E9BB}"/>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8-08A8-48E8-A42E-8AEAA663E9BB}"/>
              </c:ext>
            </c:extLst>
          </c:dPt>
          <c:dPt>
            <c:idx val="7"/>
            <c:invertIfNegative val="0"/>
            <c:bubble3D val="0"/>
            <c:spPr>
              <a:solidFill>
                <a:schemeClr val="accent4">
                  <a:lumMod val="75000"/>
                </a:schemeClr>
              </a:solidFill>
              <a:ln>
                <a:noFill/>
              </a:ln>
              <a:effectLst/>
            </c:spPr>
            <c:extLst>
              <c:ext xmlns:c16="http://schemas.microsoft.com/office/drawing/2014/chart" uri="{C3380CC4-5D6E-409C-BE32-E72D297353CC}">
                <c16:uniqueId val="{00000009-08A8-48E8-A42E-8AEAA663E9BB}"/>
              </c:ext>
            </c:extLst>
          </c:dPt>
          <c:dPt>
            <c:idx val="8"/>
            <c:invertIfNegative val="0"/>
            <c:bubble3D val="0"/>
            <c:spPr>
              <a:solidFill>
                <a:schemeClr val="accent4">
                  <a:lumMod val="50000"/>
                </a:schemeClr>
              </a:solidFill>
              <a:ln>
                <a:noFill/>
              </a:ln>
              <a:effectLst/>
            </c:spPr>
            <c:extLst>
              <c:ext xmlns:c16="http://schemas.microsoft.com/office/drawing/2014/chart" uri="{C3380CC4-5D6E-409C-BE32-E72D297353CC}">
                <c16:uniqueId val="{0000000A-08A8-48E8-A42E-8AEAA663E9BB}"/>
              </c:ext>
            </c:extLst>
          </c:dPt>
          <c:dPt>
            <c:idx val="9"/>
            <c:invertIfNegative val="0"/>
            <c:bubble3D val="0"/>
            <c:spPr>
              <a:solidFill>
                <a:schemeClr val="accent4">
                  <a:lumMod val="75000"/>
                </a:schemeClr>
              </a:solidFill>
              <a:ln>
                <a:noFill/>
              </a:ln>
              <a:effectLst/>
            </c:spPr>
            <c:extLst>
              <c:ext xmlns:c16="http://schemas.microsoft.com/office/drawing/2014/chart" uri="{C3380CC4-5D6E-409C-BE32-E72D297353CC}">
                <c16:uniqueId val="{0000000B-08A8-48E8-A42E-8AEAA663E9BB}"/>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C-08A8-48E8-A42E-8AEAA663E9BB}"/>
              </c:ext>
            </c:extLst>
          </c:dPt>
          <c:dPt>
            <c:idx val="1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D-08A8-48E8-A42E-8AEAA663E9BB}"/>
              </c:ext>
            </c:extLst>
          </c:dPt>
          <c:dPt>
            <c:idx val="1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E-08A8-48E8-A42E-8AEAA663E9BB}"/>
              </c:ext>
            </c:extLst>
          </c:dPt>
          <c:dPt>
            <c:idx val="1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F-08A8-48E8-A42E-8AEAA663E9BB}"/>
              </c:ext>
            </c:extLst>
          </c:dPt>
          <c:dPt>
            <c:idx val="14"/>
            <c:invertIfNegative val="0"/>
            <c:bubble3D val="0"/>
            <c:spPr>
              <a:solidFill>
                <a:schemeClr val="accent4"/>
              </a:solidFill>
              <a:ln>
                <a:noFill/>
              </a:ln>
              <a:effectLst/>
            </c:spPr>
            <c:extLst>
              <c:ext xmlns:c16="http://schemas.microsoft.com/office/drawing/2014/chart" uri="{C3380CC4-5D6E-409C-BE32-E72D297353CC}">
                <c16:uniqueId val="{00000010-08A8-48E8-A42E-8AEAA663E9BB}"/>
              </c:ext>
            </c:extLst>
          </c:dPt>
          <c:dPt>
            <c:idx val="15"/>
            <c:invertIfNegative val="0"/>
            <c:bubble3D val="0"/>
            <c:spPr>
              <a:solidFill>
                <a:schemeClr val="accent4">
                  <a:lumMod val="75000"/>
                </a:schemeClr>
              </a:solidFill>
              <a:ln>
                <a:noFill/>
              </a:ln>
              <a:effectLst/>
            </c:spPr>
            <c:extLst>
              <c:ext xmlns:c16="http://schemas.microsoft.com/office/drawing/2014/chart" uri="{C3380CC4-5D6E-409C-BE32-E72D297353CC}">
                <c16:uniqueId val="{00000011-08A8-48E8-A42E-8AEAA663E9BB}"/>
              </c:ext>
            </c:extLst>
          </c:dPt>
          <c:dPt>
            <c:idx val="16"/>
            <c:invertIfNegative val="0"/>
            <c:bubble3D val="0"/>
            <c:spPr>
              <a:solidFill>
                <a:schemeClr val="accent4">
                  <a:lumMod val="50000"/>
                </a:schemeClr>
              </a:solidFill>
              <a:ln>
                <a:noFill/>
              </a:ln>
              <a:effectLst/>
            </c:spPr>
            <c:extLst>
              <c:ext xmlns:c16="http://schemas.microsoft.com/office/drawing/2014/chart" uri="{C3380CC4-5D6E-409C-BE32-E72D297353CC}">
                <c16:uniqueId val="{00000012-08A8-48E8-A42E-8AEAA663E9BB}"/>
              </c:ext>
            </c:extLst>
          </c:dPt>
          <c:dPt>
            <c:idx val="17"/>
            <c:invertIfNegative val="0"/>
            <c:bubble3D val="0"/>
            <c:spPr>
              <a:solidFill>
                <a:schemeClr val="accent4"/>
              </a:solidFill>
              <a:ln>
                <a:noFill/>
              </a:ln>
              <a:effectLst/>
            </c:spPr>
            <c:extLst>
              <c:ext xmlns:c16="http://schemas.microsoft.com/office/drawing/2014/chart" uri="{C3380CC4-5D6E-409C-BE32-E72D297353CC}">
                <c16:uniqueId val="{00000013-08A8-48E8-A42E-8AEAA663E9BB}"/>
              </c:ext>
            </c:extLst>
          </c:dPt>
          <c:dLbls>
            <c:dLbl>
              <c:idx val="0"/>
              <c:layout>
                <c:manualLayout>
                  <c:x val="-3.2419311275805694E-18"/>
                  <c:y val="-0.11439014480212788"/>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A8-48E8-A42E-8AEAA663E9BB}"/>
                </c:ext>
              </c:extLst>
            </c:dLbl>
            <c:dLbl>
              <c:idx val="1"/>
              <c:layout>
                <c:manualLayout>
                  <c:x val="0"/>
                  <c:y val="-0.24727724475506269"/>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A8-48E8-A42E-8AEAA663E9BB}"/>
                </c:ext>
              </c:extLst>
            </c:dLbl>
            <c:dLbl>
              <c:idx val="2"/>
              <c:layout>
                <c:manualLayout>
                  <c:x val="1.6356687603506335E-17"/>
                  <c:y val="-0.21947932142751619"/>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A8-48E8-A42E-8AEAA663E9BB}"/>
                </c:ext>
              </c:extLst>
            </c:dLbl>
            <c:dLbl>
              <c:idx val="3"/>
              <c:layout>
                <c:manualLayout>
                  <c:x val="0"/>
                  <c:y val="-0.39086603821830768"/>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A8-48E8-A42E-8AEAA663E9BB}"/>
                </c:ext>
              </c:extLst>
            </c:dLbl>
            <c:dLbl>
              <c:idx val="4"/>
              <c:layout>
                <c:manualLayout>
                  <c:x val="0"/>
                  <c:y val="-0.11849427616336239"/>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8A8-48E8-A42E-8AEAA663E9BB}"/>
                </c:ext>
              </c:extLst>
            </c:dLbl>
            <c:dLbl>
              <c:idx val="5"/>
              <c:layout>
                <c:manualLayout>
                  <c:x val="0"/>
                  <c:y val="-0.2742161464344644"/>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A8-48E8-A42E-8AEAA663E9BB}"/>
                </c:ext>
              </c:extLst>
            </c:dLbl>
            <c:dLbl>
              <c:idx val="6"/>
              <c:layout>
                <c:manualLayout>
                  <c:x val="0"/>
                  <c:y val="-0.14080723622902186"/>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A8-48E8-A42E-8AEAA663E9BB}"/>
                </c:ext>
              </c:extLst>
            </c:dLbl>
            <c:dLbl>
              <c:idx val="7"/>
              <c:layout>
                <c:manualLayout>
                  <c:x val="0"/>
                  <c:y val="-0.29128967999521233"/>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8A8-48E8-A42E-8AEAA663E9BB}"/>
                </c:ext>
              </c:extLst>
            </c:dLbl>
            <c:dLbl>
              <c:idx val="8"/>
              <c:layout>
                <c:manualLayout>
                  <c:x val="0"/>
                  <c:y val="-0.20626468198168965"/>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8A8-48E8-A42E-8AEAA663E9BB}"/>
                </c:ext>
              </c:extLst>
            </c:dLbl>
            <c:dLbl>
              <c:idx val="9"/>
              <c:layout>
                <c:manualLayout>
                  <c:x val="-1.0374179608257822E-16"/>
                  <c:y val="-0.23161025457550871"/>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8A8-48E8-A42E-8AEAA663E9BB}"/>
                </c:ext>
              </c:extLst>
            </c:dLbl>
            <c:dLbl>
              <c:idx val="10"/>
              <c:layout>
                <c:manualLayout>
                  <c:x val="0"/>
                  <c:y val="-0.28569357169116077"/>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8A8-48E8-A42E-8AEAA663E9BB}"/>
                </c:ext>
              </c:extLst>
            </c:dLbl>
            <c:dLbl>
              <c:idx val="11"/>
              <c:layout>
                <c:manualLayout>
                  <c:x val="0"/>
                  <c:y val="-0.43255003548009269"/>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8A8-48E8-A42E-8AEAA663E9BB}"/>
                </c:ext>
              </c:extLst>
            </c:dLbl>
            <c:dLbl>
              <c:idx val="12"/>
              <c:layout>
                <c:manualLayout>
                  <c:x val="0"/>
                  <c:y val="-0.17579584314443325"/>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8A8-48E8-A42E-8AEAA663E9BB}"/>
                </c:ext>
              </c:extLst>
            </c:dLbl>
            <c:dLbl>
              <c:idx val="13"/>
              <c:layout>
                <c:manualLayout>
                  <c:x val="1.4146771979544437E-3"/>
                  <c:y val="-0.22506455218395777"/>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8A8-48E8-A42E-8AEAA663E9BB}"/>
                </c:ext>
              </c:extLst>
            </c:dLbl>
            <c:dLbl>
              <c:idx val="14"/>
              <c:layout>
                <c:manualLayout>
                  <c:x val="0"/>
                  <c:y val="-0.38370206428315873"/>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8A8-48E8-A42E-8AEAA663E9BB}"/>
                </c:ext>
              </c:extLst>
            </c:dLbl>
            <c:dLbl>
              <c:idx val="15"/>
              <c:layout>
                <c:manualLayout>
                  <c:x val="0"/>
                  <c:y val="-0.12319586699615322"/>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8A8-48E8-A42E-8AEAA663E9BB}"/>
                </c:ext>
              </c:extLst>
            </c:dLbl>
            <c:dLbl>
              <c:idx val="16"/>
              <c:layout>
                <c:manualLayout>
                  <c:x val="-1.1661537732605772E-3"/>
                  <c:y val="-0.24569308117095237"/>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8A8-48E8-A42E-8AEAA663E9BB}"/>
                </c:ext>
              </c:extLst>
            </c:dLbl>
            <c:dLbl>
              <c:idx val="17"/>
              <c:layout>
                <c:manualLayout>
                  <c:x val="-1.7843865335298876E-3"/>
                  <c:y val="-0.22313211823914328"/>
                </c:manualLayout>
              </c:layout>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8A8-48E8-A42E-8AEAA663E9BB}"/>
                </c:ext>
              </c:extLst>
            </c:dLbl>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PIVOTS!$H$3:$H$21</c:f>
              <c:strCache>
                <c:ptCount val="18"/>
                <c:pt idx="0">
                  <c:v>Adopter</c:v>
                </c:pt>
                <c:pt idx="1">
                  <c:v>Apple Watch</c:v>
                </c:pt>
                <c:pt idx="2">
                  <c:v>Camera</c:v>
                </c:pt>
                <c:pt idx="3">
                  <c:v>Charger</c:v>
                </c:pt>
                <c:pt idx="4">
                  <c:v>Desktop</c:v>
                </c:pt>
                <c:pt idx="5">
                  <c:v>Headphone</c:v>
                </c:pt>
                <c:pt idx="6">
                  <c:v>Laptop HP</c:v>
                </c:pt>
                <c:pt idx="7">
                  <c:v>Lightening Cable</c:v>
                </c:pt>
                <c:pt idx="8">
                  <c:v>Macbook</c:v>
                </c:pt>
                <c:pt idx="9">
                  <c:v>Mouse</c:v>
                </c:pt>
                <c:pt idx="10">
                  <c:v>Rgb Keyboard</c:v>
                </c:pt>
                <c:pt idx="11">
                  <c:v>Smart Watch</c:v>
                </c:pt>
                <c:pt idx="12">
                  <c:v>Speakers</c:v>
                </c:pt>
                <c:pt idx="13">
                  <c:v>Tablets</c:v>
                </c:pt>
                <c:pt idx="14">
                  <c:v>Wireless Mouse</c:v>
                </c:pt>
                <c:pt idx="15">
                  <c:v>Wireless Printer</c:v>
                </c:pt>
                <c:pt idx="16">
                  <c:v>Iphone 13</c:v>
                </c:pt>
                <c:pt idx="17">
                  <c:v>Iphone 14</c:v>
                </c:pt>
              </c:strCache>
            </c:strRef>
          </c:cat>
          <c:val>
            <c:numRef>
              <c:f>PIVOTS!$I$3:$I$21</c:f>
              <c:numCache>
                <c:formatCode>General</c:formatCode>
                <c:ptCount val="18"/>
                <c:pt idx="0">
                  <c:v>4</c:v>
                </c:pt>
                <c:pt idx="1">
                  <c:v>22</c:v>
                </c:pt>
                <c:pt idx="2">
                  <c:v>13</c:v>
                </c:pt>
                <c:pt idx="3">
                  <c:v>46</c:v>
                </c:pt>
                <c:pt idx="4">
                  <c:v>4</c:v>
                </c:pt>
                <c:pt idx="5">
                  <c:v>34</c:v>
                </c:pt>
                <c:pt idx="6">
                  <c:v>4</c:v>
                </c:pt>
                <c:pt idx="7">
                  <c:v>34</c:v>
                </c:pt>
                <c:pt idx="8">
                  <c:v>24</c:v>
                </c:pt>
                <c:pt idx="9">
                  <c:v>23</c:v>
                </c:pt>
                <c:pt idx="10">
                  <c:v>29</c:v>
                </c:pt>
                <c:pt idx="11">
                  <c:v>59</c:v>
                </c:pt>
                <c:pt idx="12">
                  <c:v>12</c:v>
                </c:pt>
                <c:pt idx="13">
                  <c:v>21</c:v>
                </c:pt>
                <c:pt idx="14">
                  <c:v>54</c:v>
                </c:pt>
                <c:pt idx="15">
                  <c:v>4</c:v>
                </c:pt>
                <c:pt idx="16">
                  <c:v>23</c:v>
                </c:pt>
                <c:pt idx="17">
                  <c:v>13</c:v>
                </c:pt>
              </c:numCache>
            </c:numRef>
          </c:val>
          <c:extLst>
            <c:ext xmlns:c16="http://schemas.microsoft.com/office/drawing/2014/chart" uri="{C3380CC4-5D6E-409C-BE32-E72D297353CC}">
              <c16:uniqueId val="{00000000-08A8-48E8-A42E-8AEAA663E9BB}"/>
            </c:ext>
          </c:extLst>
        </c:ser>
        <c:dLbls>
          <c:showLegendKey val="0"/>
          <c:showVal val="1"/>
          <c:showCatName val="0"/>
          <c:showSerName val="0"/>
          <c:showPercent val="0"/>
          <c:showBubbleSize val="0"/>
        </c:dLbls>
        <c:gapWidth val="150"/>
        <c:overlap val="100"/>
        <c:axId val="1584918528"/>
        <c:axId val="1584938080"/>
      </c:barChart>
      <c:catAx>
        <c:axId val="15849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PK"/>
          </a:p>
        </c:txPr>
        <c:crossAx val="1584938080"/>
        <c:crosses val="autoZero"/>
        <c:auto val="1"/>
        <c:lblAlgn val="ctr"/>
        <c:lblOffset val="100"/>
        <c:noMultiLvlLbl val="0"/>
      </c:catAx>
      <c:valAx>
        <c:axId val="1584938080"/>
        <c:scaling>
          <c:orientation val="minMax"/>
        </c:scaling>
        <c:delete val="1"/>
        <c:axPos val="l"/>
        <c:numFmt formatCode="General" sourceLinked="1"/>
        <c:majorTickMark val="none"/>
        <c:minorTickMark val="none"/>
        <c:tickLblPos val="nextTo"/>
        <c:crossAx val="158491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b="1">
          <a:solidFill>
            <a:schemeClr val="tx1"/>
          </a:solidFill>
        </a:defRPr>
      </a:pPr>
      <a:endParaRPr lang="en-PK"/>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5.png"/><Relationship Id="rId18" Type="http://schemas.openxmlformats.org/officeDocument/2006/relationships/image" Target="../media/image10.svg"/><Relationship Id="rId26" Type="http://schemas.openxmlformats.org/officeDocument/2006/relationships/image" Target="../media/image18.svg"/><Relationship Id="rId3" Type="http://schemas.openxmlformats.org/officeDocument/2006/relationships/hyperlink" Target="#DASHBOARD!A1"/><Relationship Id="rId21" Type="http://schemas.openxmlformats.org/officeDocument/2006/relationships/image" Target="../media/image13.png"/><Relationship Id="rId7" Type="http://schemas.openxmlformats.org/officeDocument/2006/relationships/hyperlink" Target="#'NEW ENTRY'!A1"/><Relationship Id="rId12" Type="http://schemas.openxmlformats.org/officeDocument/2006/relationships/image" Target="../media/image4.svg"/><Relationship Id="rId17" Type="http://schemas.openxmlformats.org/officeDocument/2006/relationships/image" Target="../media/image9.pn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29"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3.png"/><Relationship Id="rId24" Type="http://schemas.openxmlformats.org/officeDocument/2006/relationships/image" Target="../media/image16.svg"/><Relationship Id="rId5" Type="http://schemas.openxmlformats.org/officeDocument/2006/relationships/hyperlink" Target="#PRODUCTS!A1"/><Relationship Id="rId15" Type="http://schemas.openxmlformats.org/officeDocument/2006/relationships/image" Target="../media/image7.png"/><Relationship Id="rId23" Type="http://schemas.openxmlformats.org/officeDocument/2006/relationships/image" Target="../media/image15.png"/><Relationship Id="rId28" Type="http://schemas.openxmlformats.org/officeDocument/2006/relationships/chart" Target="../charts/chart2.xml"/><Relationship Id="rId10" Type="http://schemas.openxmlformats.org/officeDocument/2006/relationships/hyperlink" Target="#INVENTORY!A1"/><Relationship Id="rId19" Type="http://schemas.openxmlformats.org/officeDocument/2006/relationships/image" Target="../media/image11.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6.svg"/><Relationship Id="rId22" Type="http://schemas.openxmlformats.org/officeDocument/2006/relationships/image" Target="../media/image14.svg"/><Relationship Id="rId27"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21.png"/><Relationship Id="rId18" Type="http://schemas.openxmlformats.org/officeDocument/2006/relationships/image" Target="../media/image26.svg"/><Relationship Id="rId26" Type="http://schemas.openxmlformats.org/officeDocument/2006/relationships/image" Target="../media/image34.svg"/><Relationship Id="rId3" Type="http://schemas.openxmlformats.org/officeDocument/2006/relationships/hyperlink" Target="#DASHBOARD!A1"/><Relationship Id="rId21" Type="http://schemas.openxmlformats.org/officeDocument/2006/relationships/image" Target="../media/image29.png"/><Relationship Id="rId7" Type="http://schemas.openxmlformats.org/officeDocument/2006/relationships/hyperlink" Target="#'NEW ENTRY'!A1"/><Relationship Id="rId12" Type="http://schemas.openxmlformats.org/officeDocument/2006/relationships/image" Target="../media/image20.svg"/><Relationship Id="rId17" Type="http://schemas.openxmlformats.org/officeDocument/2006/relationships/image" Target="../media/image25.png"/><Relationship Id="rId25"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24.svg"/><Relationship Id="rId20" Type="http://schemas.openxmlformats.org/officeDocument/2006/relationships/image" Target="../media/image28.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19.png"/><Relationship Id="rId24" Type="http://schemas.openxmlformats.org/officeDocument/2006/relationships/image" Target="../media/image32.svg"/><Relationship Id="rId5" Type="http://schemas.openxmlformats.org/officeDocument/2006/relationships/hyperlink" Target="#PRODUCTS!A1"/><Relationship Id="rId15" Type="http://schemas.openxmlformats.org/officeDocument/2006/relationships/image" Target="../media/image23.png"/><Relationship Id="rId23" Type="http://schemas.openxmlformats.org/officeDocument/2006/relationships/image" Target="../media/image31.png"/><Relationship Id="rId28" Type="http://schemas.openxmlformats.org/officeDocument/2006/relationships/image" Target="../media/image36.svg"/><Relationship Id="rId10" Type="http://schemas.openxmlformats.org/officeDocument/2006/relationships/hyperlink" Target="#INVENTORY!A1"/><Relationship Id="rId19" Type="http://schemas.openxmlformats.org/officeDocument/2006/relationships/image" Target="../media/image27.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22.svg"/><Relationship Id="rId22" Type="http://schemas.openxmlformats.org/officeDocument/2006/relationships/image" Target="../media/image30.svg"/><Relationship Id="rId27" Type="http://schemas.openxmlformats.org/officeDocument/2006/relationships/image" Target="../media/image35.png"/></Relationships>
</file>

<file path=xl/drawings/_rels/drawing3.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21.png"/><Relationship Id="rId18" Type="http://schemas.openxmlformats.org/officeDocument/2006/relationships/image" Target="../media/image38.svg"/><Relationship Id="rId26" Type="http://schemas.openxmlformats.org/officeDocument/2006/relationships/image" Target="../media/image34.svg"/><Relationship Id="rId3" Type="http://schemas.openxmlformats.org/officeDocument/2006/relationships/hyperlink" Target="#DASHBOARD!A1"/><Relationship Id="rId21" Type="http://schemas.openxmlformats.org/officeDocument/2006/relationships/image" Target="../media/image29.png"/><Relationship Id="rId7" Type="http://schemas.openxmlformats.org/officeDocument/2006/relationships/hyperlink" Target="#'NEW ENTRY'!A1"/><Relationship Id="rId12" Type="http://schemas.openxmlformats.org/officeDocument/2006/relationships/image" Target="../media/image20.svg"/><Relationship Id="rId17" Type="http://schemas.openxmlformats.org/officeDocument/2006/relationships/image" Target="../media/image37.png"/><Relationship Id="rId25"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24.svg"/><Relationship Id="rId20" Type="http://schemas.openxmlformats.org/officeDocument/2006/relationships/image" Target="../media/image28.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19.png"/><Relationship Id="rId24" Type="http://schemas.openxmlformats.org/officeDocument/2006/relationships/image" Target="../media/image32.svg"/><Relationship Id="rId5" Type="http://schemas.openxmlformats.org/officeDocument/2006/relationships/hyperlink" Target="#PRODUCTS!A1"/><Relationship Id="rId15" Type="http://schemas.openxmlformats.org/officeDocument/2006/relationships/image" Target="../media/image23.png"/><Relationship Id="rId23" Type="http://schemas.openxmlformats.org/officeDocument/2006/relationships/image" Target="../media/image31.png"/><Relationship Id="rId10" Type="http://schemas.openxmlformats.org/officeDocument/2006/relationships/hyperlink" Target="#INVENTORY!A1"/><Relationship Id="rId19" Type="http://schemas.openxmlformats.org/officeDocument/2006/relationships/image" Target="../media/image27.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22.svg"/><Relationship Id="rId22" Type="http://schemas.openxmlformats.org/officeDocument/2006/relationships/image" Target="../media/image30.svg"/></Relationships>
</file>

<file path=xl/drawings/_rels/drawing4.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21.png"/><Relationship Id="rId18" Type="http://schemas.openxmlformats.org/officeDocument/2006/relationships/image" Target="../media/image26.svg"/><Relationship Id="rId26" Type="http://schemas.openxmlformats.org/officeDocument/2006/relationships/image" Target="../media/image34.svg"/><Relationship Id="rId3" Type="http://schemas.openxmlformats.org/officeDocument/2006/relationships/hyperlink" Target="#DASHBOARD!A1"/><Relationship Id="rId21" Type="http://schemas.openxmlformats.org/officeDocument/2006/relationships/image" Target="../media/image29.png"/><Relationship Id="rId7" Type="http://schemas.openxmlformats.org/officeDocument/2006/relationships/hyperlink" Target="#'NEW ENTRY'!A1"/><Relationship Id="rId12" Type="http://schemas.openxmlformats.org/officeDocument/2006/relationships/image" Target="../media/image20.svg"/><Relationship Id="rId17" Type="http://schemas.openxmlformats.org/officeDocument/2006/relationships/image" Target="../media/image25.png"/><Relationship Id="rId25"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40.svg"/><Relationship Id="rId20" Type="http://schemas.openxmlformats.org/officeDocument/2006/relationships/image" Target="../media/image28.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19.png"/><Relationship Id="rId24" Type="http://schemas.openxmlformats.org/officeDocument/2006/relationships/image" Target="../media/image32.svg"/><Relationship Id="rId5" Type="http://schemas.openxmlformats.org/officeDocument/2006/relationships/hyperlink" Target="#PRODUCTS!A1"/><Relationship Id="rId15" Type="http://schemas.openxmlformats.org/officeDocument/2006/relationships/image" Target="../media/image39.png"/><Relationship Id="rId23" Type="http://schemas.openxmlformats.org/officeDocument/2006/relationships/image" Target="../media/image31.png"/><Relationship Id="rId10" Type="http://schemas.openxmlformats.org/officeDocument/2006/relationships/hyperlink" Target="#INVENTORY!A1"/><Relationship Id="rId19" Type="http://schemas.openxmlformats.org/officeDocument/2006/relationships/image" Target="../media/image27.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22.svg"/><Relationship Id="rId22" Type="http://schemas.openxmlformats.org/officeDocument/2006/relationships/image" Target="../media/image30.svg"/></Relationships>
</file>

<file path=xl/drawings/_rels/drawing5.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21.png"/><Relationship Id="rId18" Type="http://schemas.openxmlformats.org/officeDocument/2006/relationships/image" Target="../media/image26.svg"/><Relationship Id="rId26" Type="http://schemas.openxmlformats.org/officeDocument/2006/relationships/image" Target="../media/image34.svg"/><Relationship Id="rId3" Type="http://schemas.openxmlformats.org/officeDocument/2006/relationships/hyperlink" Target="#DASHBOARD!A1"/><Relationship Id="rId21" Type="http://schemas.openxmlformats.org/officeDocument/2006/relationships/image" Target="../media/image41.png"/><Relationship Id="rId7" Type="http://schemas.openxmlformats.org/officeDocument/2006/relationships/hyperlink" Target="#'NEW ENTRY'!A1"/><Relationship Id="rId12" Type="http://schemas.openxmlformats.org/officeDocument/2006/relationships/image" Target="../media/image20.svg"/><Relationship Id="rId17" Type="http://schemas.openxmlformats.org/officeDocument/2006/relationships/image" Target="../media/image25.png"/><Relationship Id="rId25"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24.svg"/><Relationship Id="rId20" Type="http://schemas.openxmlformats.org/officeDocument/2006/relationships/image" Target="../media/image28.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19.png"/><Relationship Id="rId24" Type="http://schemas.openxmlformats.org/officeDocument/2006/relationships/image" Target="../media/image32.svg"/><Relationship Id="rId5" Type="http://schemas.openxmlformats.org/officeDocument/2006/relationships/hyperlink" Target="#PRODUCTS!A1"/><Relationship Id="rId15" Type="http://schemas.openxmlformats.org/officeDocument/2006/relationships/image" Target="../media/image23.png"/><Relationship Id="rId23" Type="http://schemas.openxmlformats.org/officeDocument/2006/relationships/image" Target="../media/image31.png"/><Relationship Id="rId10" Type="http://schemas.openxmlformats.org/officeDocument/2006/relationships/hyperlink" Target="#INVENTORY!A1"/><Relationship Id="rId19" Type="http://schemas.openxmlformats.org/officeDocument/2006/relationships/image" Target="../media/image27.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22.svg"/><Relationship Id="rId22" Type="http://schemas.openxmlformats.org/officeDocument/2006/relationships/image" Target="../media/image42.svg"/></Relationships>
</file>

<file path=xl/drawings/_rels/drawing6.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21.png"/><Relationship Id="rId18" Type="http://schemas.openxmlformats.org/officeDocument/2006/relationships/image" Target="../media/image26.svg"/><Relationship Id="rId26" Type="http://schemas.openxmlformats.org/officeDocument/2006/relationships/image" Target="../media/image34.svg"/><Relationship Id="rId3" Type="http://schemas.openxmlformats.org/officeDocument/2006/relationships/hyperlink" Target="#DASHBOARD!A1"/><Relationship Id="rId21" Type="http://schemas.openxmlformats.org/officeDocument/2006/relationships/image" Target="../media/image29.png"/><Relationship Id="rId7" Type="http://schemas.openxmlformats.org/officeDocument/2006/relationships/hyperlink" Target="#'NEW ENTRY'!A1"/><Relationship Id="rId12" Type="http://schemas.openxmlformats.org/officeDocument/2006/relationships/image" Target="../media/image20.svg"/><Relationship Id="rId17" Type="http://schemas.openxmlformats.org/officeDocument/2006/relationships/image" Target="../media/image25.png"/><Relationship Id="rId25"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24.svg"/><Relationship Id="rId20" Type="http://schemas.openxmlformats.org/officeDocument/2006/relationships/image" Target="../media/image44.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19.png"/><Relationship Id="rId24" Type="http://schemas.openxmlformats.org/officeDocument/2006/relationships/image" Target="../media/image32.svg"/><Relationship Id="rId5" Type="http://schemas.openxmlformats.org/officeDocument/2006/relationships/hyperlink" Target="#PRODUCTS!A1"/><Relationship Id="rId15" Type="http://schemas.openxmlformats.org/officeDocument/2006/relationships/image" Target="../media/image23.png"/><Relationship Id="rId23" Type="http://schemas.openxmlformats.org/officeDocument/2006/relationships/image" Target="../media/image31.png"/><Relationship Id="rId10" Type="http://schemas.openxmlformats.org/officeDocument/2006/relationships/hyperlink" Target="#INVENTORY!A1"/><Relationship Id="rId19" Type="http://schemas.openxmlformats.org/officeDocument/2006/relationships/image" Target="../media/image43.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22.svg"/><Relationship Id="rId22" Type="http://schemas.openxmlformats.org/officeDocument/2006/relationships/image" Target="../media/image30.svg"/></Relationships>
</file>

<file path=xl/drawings/_rels/drawing7.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21.png"/><Relationship Id="rId18" Type="http://schemas.openxmlformats.org/officeDocument/2006/relationships/image" Target="../media/image26.svg"/><Relationship Id="rId26" Type="http://schemas.openxmlformats.org/officeDocument/2006/relationships/image" Target="../media/image46.svg"/><Relationship Id="rId3" Type="http://schemas.openxmlformats.org/officeDocument/2006/relationships/hyperlink" Target="#DASHBOARD!A1"/><Relationship Id="rId21" Type="http://schemas.openxmlformats.org/officeDocument/2006/relationships/image" Target="../media/image29.png"/><Relationship Id="rId7" Type="http://schemas.openxmlformats.org/officeDocument/2006/relationships/hyperlink" Target="#'NEW ENTRY'!A1"/><Relationship Id="rId12" Type="http://schemas.openxmlformats.org/officeDocument/2006/relationships/image" Target="../media/image20.svg"/><Relationship Id="rId17" Type="http://schemas.openxmlformats.org/officeDocument/2006/relationships/image" Target="../media/image25.png"/><Relationship Id="rId25" Type="http://schemas.openxmlformats.org/officeDocument/2006/relationships/image" Target="../media/image45.png"/><Relationship Id="rId2" Type="http://schemas.openxmlformats.org/officeDocument/2006/relationships/image" Target="../media/image2.svg"/><Relationship Id="rId16" Type="http://schemas.openxmlformats.org/officeDocument/2006/relationships/image" Target="../media/image24.svg"/><Relationship Id="rId20" Type="http://schemas.openxmlformats.org/officeDocument/2006/relationships/image" Target="../media/image28.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19.png"/><Relationship Id="rId24" Type="http://schemas.openxmlformats.org/officeDocument/2006/relationships/image" Target="../media/image32.svg"/><Relationship Id="rId5" Type="http://schemas.openxmlformats.org/officeDocument/2006/relationships/hyperlink" Target="#PRODUCTS!A1"/><Relationship Id="rId15" Type="http://schemas.openxmlformats.org/officeDocument/2006/relationships/image" Target="../media/image23.png"/><Relationship Id="rId23" Type="http://schemas.openxmlformats.org/officeDocument/2006/relationships/image" Target="../media/image31.png"/><Relationship Id="rId10" Type="http://schemas.openxmlformats.org/officeDocument/2006/relationships/hyperlink" Target="#INVENTORY!A1"/><Relationship Id="rId19" Type="http://schemas.openxmlformats.org/officeDocument/2006/relationships/image" Target="../media/image27.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22.svg"/><Relationship Id="rId22" Type="http://schemas.openxmlformats.org/officeDocument/2006/relationships/image" Target="../media/image30.svg"/></Relationships>
</file>

<file path=xl/drawings/_rels/drawing8.xml.rels><?xml version="1.0" encoding="UTF-8" standalone="yes"?>
<Relationships xmlns="http://schemas.openxmlformats.org/package/2006/relationships"><Relationship Id="rId8" Type="http://schemas.openxmlformats.org/officeDocument/2006/relationships/hyperlink" Target="#PURCHASE!A1"/><Relationship Id="rId13" Type="http://schemas.openxmlformats.org/officeDocument/2006/relationships/image" Target="../media/image21.png"/><Relationship Id="rId18" Type="http://schemas.openxmlformats.org/officeDocument/2006/relationships/image" Target="../media/image26.svg"/><Relationship Id="rId26" Type="http://schemas.openxmlformats.org/officeDocument/2006/relationships/image" Target="../media/image34.svg"/><Relationship Id="rId3" Type="http://schemas.openxmlformats.org/officeDocument/2006/relationships/hyperlink" Target="#DASHBOARD!A1"/><Relationship Id="rId21" Type="http://schemas.openxmlformats.org/officeDocument/2006/relationships/image" Target="../media/image29.png"/><Relationship Id="rId7" Type="http://schemas.openxmlformats.org/officeDocument/2006/relationships/hyperlink" Target="#'NEW ENTRY'!A1"/><Relationship Id="rId12" Type="http://schemas.openxmlformats.org/officeDocument/2006/relationships/image" Target="../media/image20.svg"/><Relationship Id="rId17" Type="http://schemas.openxmlformats.org/officeDocument/2006/relationships/image" Target="../media/image25.png"/><Relationship Id="rId25"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24.svg"/><Relationship Id="rId20" Type="http://schemas.openxmlformats.org/officeDocument/2006/relationships/image" Target="../media/image28.svg"/><Relationship Id="rId1" Type="http://schemas.openxmlformats.org/officeDocument/2006/relationships/image" Target="../media/image1.png"/><Relationship Id="rId6" Type="http://schemas.openxmlformats.org/officeDocument/2006/relationships/hyperlink" Target="#VENDORS!A1"/><Relationship Id="rId11" Type="http://schemas.openxmlformats.org/officeDocument/2006/relationships/image" Target="../media/image19.png"/><Relationship Id="rId24" Type="http://schemas.openxmlformats.org/officeDocument/2006/relationships/image" Target="../media/image48.svg"/><Relationship Id="rId5" Type="http://schemas.openxmlformats.org/officeDocument/2006/relationships/hyperlink" Target="#PRODUCTS!A1"/><Relationship Id="rId15" Type="http://schemas.openxmlformats.org/officeDocument/2006/relationships/image" Target="../media/image23.png"/><Relationship Id="rId23" Type="http://schemas.openxmlformats.org/officeDocument/2006/relationships/image" Target="../media/image47.png"/><Relationship Id="rId10" Type="http://schemas.openxmlformats.org/officeDocument/2006/relationships/hyperlink" Target="#INVENTORY!A1"/><Relationship Id="rId19" Type="http://schemas.openxmlformats.org/officeDocument/2006/relationships/image" Target="../media/image27.png"/><Relationship Id="rId4" Type="http://schemas.openxmlformats.org/officeDocument/2006/relationships/hyperlink" Target="#CUSTOMERS!A1"/><Relationship Id="rId9" Type="http://schemas.openxmlformats.org/officeDocument/2006/relationships/hyperlink" Target="#SALES!A1"/><Relationship Id="rId14" Type="http://schemas.openxmlformats.org/officeDocument/2006/relationships/image" Target="../media/image22.svg"/><Relationship Id="rId22" Type="http://schemas.openxmlformats.org/officeDocument/2006/relationships/image" Target="../media/image30.svg"/></Relationships>
</file>

<file path=xl/drawings/drawing1.xml><?xml version="1.0" encoding="utf-8"?>
<xdr:wsDr xmlns:xdr="http://schemas.openxmlformats.org/drawingml/2006/spreadsheetDrawing" xmlns:a="http://schemas.openxmlformats.org/drawingml/2006/main">
  <xdr:twoCellAnchor editAs="oneCell">
    <xdr:from>
      <xdr:col>1</xdr:col>
      <xdr:colOff>635000</xdr:colOff>
      <xdr:row>1</xdr:row>
      <xdr:rowOff>177800</xdr:rowOff>
    </xdr:from>
    <xdr:to>
      <xdr:col>1</xdr:col>
      <xdr:colOff>1123950</xdr:colOff>
      <xdr:row>4</xdr:row>
      <xdr:rowOff>114300</xdr:rowOff>
    </xdr:to>
    <xdr:pic>
      <xdr:nvPicPr>
        <xdr:cNvPr id="3" name="Graphic 2" descr="Bar graph with upward trend with solid fill">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4550" y="361950"/>
          <a:ext cx="488950" cy="488950"/>
        </a:xfrm>
        <a:prstGeom prst="rect">
          <a:avLst/>
        </a:prstGeom>
      </xdr:spPr>
    </xdr:pic>
    <xdr:clientData/>
  </xdr:twoCellAnchor>
  <xdr:twoCellAnchor>
    <xdr:from>
      <xdr:col>1</xdr:col>
      <xdr:colOff>13230</xdr:colOff>
      <xdr:row>3</xdr:row>
      <xdr:rowOff>178065</xdr:rowOff>
    </xdr:from>
    <xdr:to>
      <xdr:col>2</xdr:col>
      <xdr:colOff>19580</xdr:colOff>
      <xdr:row>7</xdr:row>
      <xdr:rowOff>51065</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224897" y="733690"/>
          <a:ext cx="1752600" cy="6138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tx1"/>
              </a:solidFill>
            </a:rPr>
            <a:t>Inventory</a:t>
          </a:r>
          <a:r>
            <a:rPr lang="en-GB" sz="1400" b="1" baseline="0">
              <a:solidFill>
                <a:schemeClr val="tx1"/>
              </a:solidFill>
            </a:rPr>
            <a:t> Management System</a:t>
          </a:r>
          <a:endParaRPr lang="en-PK" sz="1400" b="1">
            <a:solidFill>
              <a:schemeClr val="tx1"/>
            </a:solidFill>
          </a:endParaRPr>
        </a:p>
      </xdr:txBody>
    </xdr:sp>
    <xdr:clientData/>
  </xdr:twoCellAnchor>
  <xdr:twoCellAnchor>
    <xdr:from>
      <xdr:col>1</xdr:col>
      <xdr:colOff>400885</xdr:colOff>
      <xdr:row>8</xdr:row>
      <xdr:rowOff>158749</xdr:rowOff>
    </xdr:from>
    <xdr:to>
      <xdr:col>1</xdr:col>
      <xdr:colOff>1614223</xdr:colOff>
      <xdr:row>10</xdr:row>
      <xdr:rowOff>158750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612552" y="1640416"/>
          <a:ext cx="1213338" cy="370417"/>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1600" b="1" baseline="0">
              <a:solidFill>
                <a:schemeClr val="tx1"/>
              </a:solidFill>
            </a:rPr>
            <a:t>Dashboard</a:t>
          </a:r>
          <a:endParaRPr lang="en-GB" sz="1800" b="1" baseline="0">
            <a:solidFill>
              <a:schemeClr val="tx1"/>
            </a:solidFill>
          </a:endParaRPr>
        </a:p>
      </xdr:txBody>
    </xdr:sp>
    <xdr:clientData/>
  </xdr:twoCellAnchor>
  <xdr:twoCellAnchor>
    <xdr:from>
      <xdr:col>1</xdr:col>
      <xdr:colOff>400885</xdr:colOff>
      <xdr:row>10</xdr:row>
      <xdr:rowOff>162984</xdr:rowOff>
    </xdr:from>
    <xdr:to>
      <xdr:col>1</xdr:col>
      <xdr:colOff>1614223</xdr:colOff>
      <xdr:row>12</xdr:row>
      <xdr:rowOff>138189</xdr:rowOff>
    </xdr:to>
    <xdr:sp macro="" textlink="">
      <xdr:nvSpPr>
        <xdr:cNvPr id="13" name="Rectangle 12">
          <a:hlinkClick xmlns:r="http://schemas.openxmlformats.org/officeDocument/2006/relationships" r:id="rId4"/>
          <a:extLst>
            <a:ext uri="{FF2B5EF4-FFF2-40B4-BE49-F238E27FC236}">
              <a16:creationId xmlns:a16="http://schemas.microsoft.com/office/drawing/2014/main" id="{00000000-0008-0000-0000-00000D000000}"/>
            </a:ext>
          </a:extLst>
        </xdr:cNvPr>
        <xdr:cNvSpPr/>
      </xdr:nvSpPr>
      <xdr:spPr>
        <a:xfrm>
          <a:off x="612552" y="2015067"/>
          <a:ext cx="1213338" cy="345622"/>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1600" b="0" baseline="0">
              <a:solidFill>
                <a:schemeClr val="bg2">
                  <a:lumMod val="50000"/>
                </a:schemeClr>
              </a:solidFill>
            </a:rPr>
            <a:t>Customers</a:t>
          </a:r>
        </a:p>
      </xdr:txBody>
    </xdr:sp>
    <xdr:clientData/>
  </xdr:twoCellAnchor>
  <xdr:twoCellAnchor>
    <xdr:from>
      <xdr:col>1</xdr:col>
      <xdr:colOff>400885</xdr:colOff>
      <xdr:row>12</xdr:row>
      <xdr:rowOff>142423</xdr:rowOff>
    </xdr:from>
    <xdr:to>
      <xdr:col>1</xdr:col>
      <xdr:colOff>1614223</xdr:colOff>
      <xdr:row>14</xdr:row>
      <xdr:rowOff>145218</xdr:rowOff>
    </xdr:to>
    <xdr:sp macro="" textlink="">
      <xdr:nvSpPr>
        <xdr:cNvPr id="14" name="Rectangle 13">
          <a:hlinkClick xmlns:r="http://schemas.openxmlformats.org/officeDocument/2006/relationships" r:id="rId5"/>
          <a:extLst>
            <a:ext uri="{FF2B5EF4-FFF2-40B4-BE49-F238E27FC236}">
              <a16:creationId xmlns:a16="http://schemas.microsoft.com/office/drawing/2014/main" id="{00000000-0008-0000-0000-00000E000000}"/>
            </a:ext>
          </a:extLst>
        </xdr:cNvPr>
        <xdr:cNvSpPr/>
      </xdr:nvSpPr>
      <xdr:spPr>
        <a:xfrm>
          <a:off x="612552" y="2364923"/>
          <a:ext cx="1213338" cy="373212"/>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1600" b="0" baseline="0">
              <a:solidFill>
                <a:schemeClr val="bg2">
                  <a:lumMod val="50000"/>
                </a:schemeClr>
              </a:solidFill>
            </a:rPr>
            <a:t>Products</a:t>
          </a:r>
        </a:p>
      </xdr:txBody>
    </xdr:sp>
    <xdr:clientData/>
  </xdr:twoCellAnchor>
  <xdr:twoCellAnchor>
    <xdr:from>
      <xdr:col>1</xdr:col>
      <xdr:colOff>400885</xdr:colOff>
      <xdr:row>14</xdr:row>
      <xdr:rowOff>149452</xdr:rowOff>
    </xdr:from>
    <xdr:to>
      <xdr:col>1</xdr:col>
      <xdr:colOff>1614223</xdr:colOff>
      <xdr:row>17</xdr:row>
      <xdr:rowOff>14476</xdr:rowOff>
    </xdr:to>
    <xdr:sp macro="" textlink="">
      <xdr:nvSpPr>
        <xdr:cNvPr id="15" name="Rectangle 14">
          <a:hlinkClick xmlns:r="http://schemas.openxmlformats.org/officeDocument/2006/relationships" r:id="rId6"/>
          <a:extLst>
            <a:ext uri="{FF2B5EF4-FFF2-40B4-BE49-F238E27FC236}">
              <a16:creationId xmlns:a16="http://schemas.microsoft.com/office/drawing/2014/main" id="{00000000-0008-0000-0000-00000F000000}"/>
            </a:ext>
          </a:extLst>
        </xdr:cNvPr>
        <xdr:cNvSpPr/>
      </xdr:nvSpPr>
      <xdr:spPr>
        <a:xfrm>
          <a:off x="612552" y="2742369"/>
          <a:ext cx="1213338" cy="420649"/>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1600" b="0" baseline="0">
              <a:solidFill>
                <a:schemeClr val="bg2">
                  <a:lumMod val="50000"/>
                </a:schemeClr>
              </a:solidFill>
            </a:rPr>
            <a:t>Vendors</a:t>
          </a:r>
          <a:endParaRPr lang="en-GB" sz="1800" b="0" baseline="0">
            <a:solidFill>
              <a:schemeClr val="bg2">
                <a:lumMod val="50000"/>
              </a:schemeClr>
            </a:solidFill>
          </a:endParaRPr>
        </a:p>
      </xdr:txBody>
    </xdr:sp>
    <xdr:clientData/>
  </xdr:twoCellAnchor>
  <xdr:twoCellAnchor>
    <xdr:from>
      <xdr:col>1</xdr:col>
      <xdr:colOff>400885</xdr:colOff>
      <xdr:row>17</xdr:row>
      <xdr:rowOff>18710</xdr:rowOff>
    </xdr:from>
    <xdr:to>
      <xdr:col>1</xdr:col>
      <xdr:colOff>1614223</xdr:colOff>
      <xdr:row>19</xdr:row>
      <xdr:rowOff>83306</xdr:rowOff>
    </xdr:to>
    <xdr:sp macro="" textlink="">
      <xdr:nvSpPr>
        <xdr:cNvPr id="16" name="Rectangle 15">
          <a:hlinkClick xmlns:r="http://schemas.openxmlformats.org/officeDocument/2006/relationships" r:id="rId7"/>
          <a:extLst>
            <a:ext uri="{FF2B5EF4-FFF2-40B4-BE49-F238E27FC236}">
              <a16:creationId xmlns:a16="http://schemas.microsoft.com/office/drawing/2014/main" id="{00000000-0008-0000-0000-000010000000}"/>
            </a:ext>
          </a:extLst>
        </xdr:cNvPr>
        <xdr:cNvSpPr/>
      </xdr:nvSpPr>
      <xdr:spPr>
        <a:xfrm>
          <a:off x="612552" y="3167252"/>
          <a:ext cx="1213338" cy="435012"/>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1600" b="0" baseline="0">
              <a:solidFill>
                <a:schemeClr val="bg2">
                  <a:lumMod val="50000"/>
                </a:schemeClr>
              </a:solidFill>
            </a:rPr>
            <a:t>New Entry</a:t>
          </a:r>
          <a:endParaRPr lang="en-GB" sz="1800" b="0" baseline="0">
            <a:solidFill>
              <a:schemeClr val="bg2">
                <a:lumMod val="50000"/>
              </a:schemeClr>
            </a:solidFill>
          </a:endParaRPr>
        </a:p>
      </xdr:txBody>
    </xdr:sp>
    <xdr:clientData/>
  </xdr:twoCellAnchor>
  <xdr:twoCellAnchor>
    <xdr:from>
      <xdr:col>1</xdr:col>
      <xdr:colOff>400885</xdr:colOff>
      <xdr:row>19</xdr:row>
      <xdr:rowOff>87540</xdr:rowOff>
    </xdr:from>
    <xdr:to>
      <xdr:col>1</xdr:col>
      <xdr:colOff>1614223</xdr:colOff>
      <xdr:row>22</xdr:row>
      <xdr:rowOff>28648</xdr:rowOff>
    </xdr:to>
    <xdr:sp macro="" textlink="">
      <xdr:nvSpPr>
        <xdr:cNvPr id="17" name="Rectangle 16">
          <a:hlinkClick xmlns:r="http://schemas.openxmlformats.org/officeDocument/2006/relationships" r:id="rId8"/>
          <a:extLst>
            <a:ext uri="{FF2B5EF4-FFF2-40B4-BE49-F238E27FC236}">
              <a16:creationId xmlns:a16="http://schemas.microsoft.com/office/drawing/2014/main" id="{00000000-0008-0000-0000-000011000000}"/>
            </a:ext>
          </a:extLst>
        </xdr:cNvPr>
        <xdr:cNvSpPr/>
      </xdr:nvSpPr>
      <xdr:spPr>
        <a:xfrm>
          <a:off x="612552" y="3606498"/>
          <a:ext cx="1213338" cy="49673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1600" b="0" baseline="0">
              <a:solidFill>
                <a:schemeClr val="bg2">
                  <a:lumMod val="50000"/>
                </a:schemeClr>
              </a:solidFill>
            </a:rPr>
            <a:t>Purchase</a:t>
          </a:r>
          <a:endParaRPr lang="en-GB" sz="1800" b="0" baseline="0">
            <a:solidFill>
              <a:schemeClr val="bg2">
                <a:lumMod val="50000"/>
              </a:schemeClr>
            </a:solidFill>
          </a:endParaRPr>
        </a:p>
      </xdr:txBody>
    </xdr:sp>
    <xdr:clientData/>
  </xdr:twoCellAnchor>
  <xdr:twoCellAnchor>
    <xdr:from>
      <xdr:col>1</xdr:col>
      <xdr:colOff>400885</xdr:colOff>
      <xdr:row>22</xdr:row>
      <xdr:rowOff>32882</xdr:rowOff>
    </xdr:from>
    <xdr:to>
      <xdr:col>1</xdr:col>
      <xdr:colOff>1614223</xdr:colOff>
      <xdr:row>24</xdr:row>
      <xdr:rowOff>147104</xdr:rowOff>
    </xdr:to>
    <xdr:sp macro="" textlink="">
      <xdr:nvSpPr>
        <xdr:cNvPr id="18" name="Rectangle 17">
          <a:hlinkClick xmlns:r="http://schemas.openxmlformats.org/officeDocument/2006/relationships" r:id="rId9"/>
          <a:extLst>
            <a:ext uri="{FF2B5EF4-FFF2-40B4-BE49-F238E27FC236}">
              <a16:creationId xmlns:a16="http://schemas.microsoft.com/office/drawing/2014/main" id="{00000000-0008-0000-0000-000012000000}"/>
            </a:ext>
          </a:extLst>
        </xdr:cNvPr>
        <xdr:cNvSpPr/>
      </xdr:nvSpPr>
      <xdr:spPr>
        <a:xfrm>
          <a:off x="612552" y="4107465"/>
          <a:ext cx="1213338" cy="484639"/>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1600" b="0" baseline="0">
              <a:solidFill>
                <a:schemeClr val="bg2">
                  <a:lumMod val="50000"/>
                </a:schemeClr>
              </a:solidFill>
            </a:rPr>
            <a:t>Sales</a:t>
          </a:r>
          <a:endParaRPr lang="en-GB" sz="1800" b="0" baseline="0">
            <a:solidFill>
              <a:schemeClr val="bg2">
                <a:lumMod val="50000"/>
              </a:schemeClr>
            </a:solidFill>
          </a:endParaRPr>
        </a:p>
      </xdr:txBody>
    </xdr:sp>
    <xdr:clientData/>
  </xdr:twoCellAnchor>
  <xdr:twoCellAnchor>
    <xdr:from>
      <xdr:col>1</xdr:col>
      <xdr:colOff>400885</xdr:colOff>
      <xdr:row>24</xdr:row>
      <xdr:rowOff>151341</xdr:rowOff>
    </xdr:from>
    <xdr:to>
      <xdr:col>1</xdr:col>
      <xdr:colOff>1614223</xdr:colOff>
      <xdr:row>27</xdr:row>
      <xdr:rowOff>92603</xdr:rowOff>
    </xdr:to>
    <xdr:sp macro="" textlink="">
      <xdr:nvSpPr>
        <xdr:cNvPr id="19" name="Rectangle 18">
          <a:hlinkClick xmlns:r="http://schemas.openxmlformats.org/officeDocument/2006/relationships" r:id="rId10"/>
          <a:extLst>
            <a:ext uri="{FF2B5EF4-FFF2-40B4-BE49-F238E27FC236}">
              <a16:creationId xmlns:a16="http://schemas.microsoft.com/office/drawing/2014/main" id="{00000000-0008-0000-0000-000013000000}"/>
            </a:ext>
          </a:extLst>
        </xdr:cNvPr>
        <xdr:cNvSpPr/>
      </xdr:nvSpPr>
      <xdr:spPr>
        <a:xfrm>
          <a:off x="612552" y="4596341"/>
          <a:ext cx="1213338" cy="496887"/>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1600" b="0" baseline="0">
              <a:solidFill>
                <a:schemeClr val="bg2">
                  <a:lumMod val="50000"/>
                </a:schemeClr>
              </a:solidFill>
            </a:rPr>
            <a:t>Inventory</a:t>
          </a:r>
          <a:endParaRPr lang="en-GB" sz="1800" b="0" baseline="0">
            <a:solidFill>
              <a:schemeClr val="bg2">
                <a:lumMod val="50000"/>
              </a:schemeClr>
            </a:solidFill>
          </a:endParaRPr>
        </a:p>
      </xdr:txBody>
    </xdr:sp>
    <xdr:clientData/>
  </xdr:twoCellAnchor>
  <xdr:twoCellAnchor editAs="oneCell">
    <xdr:from>
      <xdr:col>1</xdr:col>
      <xdr:colOff>69226</xdr:colOff>
      <xdr:row>9</xdr:row>
      <xdr:rowOff>22425</xdr:rowOff>
    </xdr:from>
    <xdr:to>
      <xdr:col>1</xdr:col>
      <xdr:colOff>332543</xdr:colOff>
      <xdr:row>10</xdr:row>
      <xdr:rowOff>101824</xdr:rowOff>
    </xdr:to>
    <xdr:pic>
      <xdr:nvPicPr>
        <xdr:cNvPr id="21" name="Graphic 20" descr="Gauge with solid fill">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80893" y="1689300"/>
          <a:ext cx="263317" cy="264607"/>
        </a:xfrm>
        <a:prstGeom prst="rect">
          <a:avLst/>
        </a:prstGeom>
      </xdr:spPr>
    </xdr:pic>
    <xdr:clientData/>
  </xdr:twoCellAnchor>
  <xdr:twoCellAnchor editAs="oneCell">
    <xdr:from>
      <xdr:col>1</xdr:col>
      <xdr:colOff>69226</xdr:colOff>
      <xdr:row>11</xdr:row>
      <xdr:rowOff>70037</xdr:rowOff>
    </xdr:from>
    <xdr:to>
      <xdr:col>1</xdr:col>
      <xdr:colOff>340369</xdr:colOff>
      <xdr:row>12</xdr:row>
      <xdr:rowOff>157161</xdr:rowOff>
    </xdr:to>
    <xdr:pic>
      <xdr:nvPicPr>
        <xdr:cNvPr id="23" name="Graphic 22" descr="Target Audience with solid fill">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80893" y="2107329"/>
          <a:ext cx="271143" cy="272332"/>
        </a:xfrm>
        <a:prstGeom prst="rect">
          <a:avLst/>
        </a:prstGeom>
      </xdr:spPr>
    </xdr:pic>
    <xdr:clientData/>
  </xdr:twoCellAnchor>
  <xdr:twoCellAnchor editAs="oneCell">
    <xdr:from>
      <xdr:col>1</xdr:col>
      <xdr:colOff>69226</xdr:colOff>
      <xdr:row>16</xdr:row>
      <xdr:rowOff>6892</xdr:rowOff>
    </xdr:from>
    <xdr:to>
      <xdr:col>1</xdr:col>
      <xdr:colOff>323221</xdr:colOff>
      <xdr:row>17</xdr:row>
      <xdr:rowOff>76841</xdr:rowOff>
    </xdr:to>
    <xdr:pic>
      <xdr:nvPicPr>
        <xdr:cNvPr id="25" name="Graphic 24" descr="User with solid fill">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80893" y="2970225"/>
          <a:ext cx="253995" cy="255158"/>
        </a:xfrm>
        <a:prstGeom prst="rect">
          <a:avLst/>
        </a:prstGeom>
      </xdr:spPr>
    </xdr:pic>
    <xdr:clientData/>
  </xdr:twoCellAnchor>
  <xdr:twoCellAnchor editAs="oneCell">
    <xdr:from>
      <xdr:col>1</xdr:col>
      <xdr:colOff>69226</xdr:colOff>
      <xdr:row>13</xdr:row>
      <xdr:rowOff>125375</xdr:rowOff>
    </xdr:from>
    <xdr:to>
      <xdr:col>1</xdr:col>
      <xdr:colOff>350658</xdr:colOff>
      <xdr:row>15</xdr:row>
      <xdr:rowOff>38678</xdr:rowOff>
    </xdr:to>
    <xdr:pic>
      <xdr:nvPicPr>
        <xdr:cNvPr id="27" name="Graphic 26" descr="Balloons with solid fill">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80893" y="2533083"/>
          <a:ext cx="281432" cy="283720"/>
        </a:xfrm>
        <a:prstGeom prst="rect">
          <a:avLst/>
        </a:prstGeom>
      </xdr:spPr>
    </xdr:pic>
    <xdr:clientData/>
  </xdr:twoCellAnchor>
  <xdr:twoCellAnchor editAs="oneCell">
    <xdr:from>
      <xdr:col>1</xdr:col>
      <xdr:colOff>69226</xdr:colOff>
      <xdr:row>20</xdr:row>
      <xdr:rowOff>118134</xdr:rowOff>
    </xdr:from>
    <xdr:to>
      <xdr:col>1</xdr:col>
      <xdr:colOff>341945</xdr:colOff>
      <xdr:row>22</xdr:row>
      <xdr:rowOff>27465</xdr:rowOff>
    </xdr:to>
    <xdr:pic>
      <xdr:nvPicPr>
        <xdr:cNvPr id="41" name="Graphic 40" descr="Checklist with solid fill">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80893" y="3822301"/>
          <a:ext cx="272719" cy="279747"/>
        </a:xfrm>
        <a:prstGeom prst="rect">
          <a:avLst/>
        </a:prstGeom>
      </xdr:spPr>
    </xdr:pic>
    <xdr:clientData/>
  </xdr:twoCellAnchor>
  <xdr:twoCellAnchor editAs="oneCell">
    <xdr:from>
      <xdr:col>1</xdr:col>
      <xdr:colOff>69226</xdr:colOff>
      <xdr:row>18</xdr:row>
      <xdr:rowOff>45055</xdr:rowOff>
    </xdr:from>
    <xdr:to>
      <xdr:col>1</xdr:col>
      <xdr:colOff>358107</xdr:colOff>
      <xdr:row>19</xdr:row>
      <xdr:rowOff>149921</xdr:rowOff>
    </xdr:to>
    <xdr:pic>
      <xdr:nvPicPr>
        <xdr:cNvPr id="43" name="Graphic 42" descr="Cloud Computing with solid fill">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80893" y="3378805"/>
          <a:ext cx="288881" cy="290074"/>
        </a:xfrm>
        <a:prstGeom prst="rect">
          <a:avLst/>
        </a:prstGeom>
      </xdr:spPr>
    </xdr:pic>
    <xdr:clientData/>
  </xdr:twoCellAnchor>
  <xdr:twoCellAnchor editAs="oneCell">
    <xdr:from>
      <xdr:col>1</xdr:col>
      <xdr:colOff>69226</xdr:colOff>
      <xdr:row>25</xdr:row>
      <xdr:rowOff>66901</xdr:rowOff>
    </xdr:from>
    <xdr:to>
      <xdr:col>1</xdr:col>
      <xdr:colOff>371293</xdr:colOff>
      <xdr:row>26</xdr:row>
      <xdr:rowOff>185207</xdr:rowOff>
    </xdr:to>
    <xdr:pic>
      <xdr:nvPicPr>
        <xdr:cNvPr id="45" name="Graphic 44" descr="Database with solid fill">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280893" y="4697109"/>
          <a:ext cx="302067" cy="303515"/>
        </a:xfrm>
        <a:prstGeom prst="rect">
          <a:avLst/>
        </a:prstGeom>
      </xdr:spPr>
    </xdr:pic>
    <xdr:clientData/>
  </xdr:twoCellAnchor>
  <xdr:twoCellAnchor editAs="oneCell">
    <xdr:from>
      <xdr:col>1</xdr:col>
      <xdr:colOff>69226</xdr:colOff>
      <xdr:row>22</xdr:row>
      <xdr:rowOff>180887</xdr:rowOff>
    </xdr:from>
    <xdr:to>
      <xdr:col>1</xdr:col>
      <xdr:colOff>354734</xdr:colOff>
      <xdr:row>24</xdr:row>
      <xdr:rowOff>98687</xdr:rowOff>
    </xdr:to>
    <xdr:pic>
      <xdr:nvPicPr>
        <xdr:cNvPr id="47" name="Graphic 46" descr="List with solid fill">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80893" y="4255470"/>
          <a:ext cx="285508" cy="288217"/>
        </a:xfrm>
        <a:prstGeom prst="rect">
          <a:avLst/>
        </a:prstGeom>
      </xdr:spPr>
    </xdr:pic>
    <xdr:clientData/>
  </xdr:twoCellAnchor>
  <xdr:twoCellAnchor editAs="absolute">
    <xdr:from>
      <xdr:col>3</xdr:col>
      <xdr:colOff>6414</xdr:colOff>
      <xdr:row>1</xdr:row>
      <xdr:rowOff>25657</xdr:rowOff>
    </xdr:from>
    <xdr:to>
      <xdr:col>24</xdr:col>
      <xdr:colOff>817185</xdr:colOff>
      <xdr:row>3</xdr:row>
      <xdr:rowOff>109041</xdr:rowOff>
    </xdr:to>
    <xdr:sp macro="" textlink="">
      <xdr:nvSpPr>
        <xdr:cNvPr id="48" name="Rectangle 47">
          <a:extLst>
            <a:ext uri="{FF2B5EF4-FFF2-40B4-BE49-F238E27FC236}">
              <a16:creationId xmlns:a16="http://schemas.microsoft.com/office/drawing/2014/main" id="{00000000-0008-0000-0000-000030000000}"/>
            </a:ext>
          </a:extLst>
        </xdr:cNvPr>
        <xdr:cNvSpPr/>
      </xdr:nvSpPr>
      <xdr:spPr>
        <a:xfrm>
          <a:off x="2120057" y="207086"/>
          <a:ext cx="14226657" cy="44624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400" b="1">
              <a:solidFill>
                <a:schemeClr val="tx1"/>
              </a:solidFill>
            </a:rPr>
            <a:t>   Inventory</a:t>
          </a:r>
          <a:r>
            <a:rPr lang="en-GB" sz="2400" b="1" baseline="0">
              <a:solidFill>
                <a:schemeClr val="tx1"/>
              </a:solidFill>
            </a:rPr>
            <a:t> Management System</a:t>
          </a:r>
          <a:endParaRPr lang="en-PK" sz="2400" b="1">
            <a:solidFill>
              <a:schemeClr val="tx1"/>
            </a:solidFill>
          </a:endParaRPr>
        </a:p>
      </xdr:txBody>
    </xdr:sp>
    <xdr:clientData/>
  </xdr:twoCellAnchor>
  <xdr:twoCellAnchor editAs="absolute">
    <xdr:from>
      <xdr:col>3</xdr:col>
      <xdr:colOff>218080</xdr:colOff>
      <xdr:row>5</xdr:row>
      <xdr:rowOff>89797</xdr:rowOff>
    </xdr:from>
    <xdr:to>
      <xdr:col>4</xdr:col>
      <xdr:colOff>32071</xdr:colOff>
      <xdr:row>6</xdr:row>
      <xdr:rowOff>147525</xdr:rowOff>
    </xdr:to>
    <xdr:sp macro="" textlink="">
      <xdr:nvSpPr>
        <xdr:cNvPr id="7" name="Rectangle 6">
          <a:extLst>
            <a:ext uri="{FF2B5EF4-FFF2-40B4-BE49-F238E27FC236}">
              <a16:creationId xmlns:a16="http://schemas.microsoft.com/office/drawing/2014/main" id="{00000000-0008-0000-0000-000007000000}"/>
            </a:ext>
          </a:extLst>
        </xdr:cNvPr>
        <xdr:cNvSpPr/>
      </xdr:nvSpPr>
      <xdr:spPr>
        <a:xfrm>
          <a:off x="2328333" y="1019848"/>
          <a:ext cx="1032677" cy="2437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11287</xdr:colOff>
      <xdr:row>3</xdr:row>
      <xdr:rowOff>165230</xdr:rowOff>
    </xdr:from>
    <xdr:to>
      <xdr:col>5</xdr:col>
      <xdr:colOff>23813</xdr:colOff>
      <xdr:row>7</xdr:row>
      <xdr:rowOff>1</xdr:rowOff>
    </xdr:to>
    <xdr:grpSp>
      <xdr:nvGrpSpPr>
        <xdr:cNvPr id="10" name="Group 9">
          <a:extLst>
            <a:ext uri="{FF2B5EF4-FFF2-40B4-BE49-F238E27FC236}">
              <a16:creationId xmlns:a16="http://schemas.microsoft.com/office/drawing/2014/main" id="{00000000-0008-0000-0000-00000A000000}"/>
            </a:ext>
          </a:extLst>
        </xdr:cNvPr>
        <xdr:cNvGrpSpPr/>
      </xdr:nvGrpSpPr>
      <xdr:grpSpPr>
        <a:xfrm>
          <a:off x="2119134" y="720855"/>
          <a:ext cx="1838151" cy="575604"/>
          <a:chOff x="2114726" y="712918"/>
          <a:chExt cx="1326542" cy="565021"/>
        </a:xfrm>
      </xdr:grpSpPr>
      <xdr:grpSp>
        <xdr:nvGrpSpPr>
          <xdr:cNvPr id="9" name="Group 8">
            <a:extLst>
              <a:ext uri="{FF2B5EF4-FFF2-40B4-BE49-F238E27FC236}">
                <a16:creationId xmlns:a16="http://schemas.microsoft.com/office/drawing/2014/main" id="{00000000-0008-0000-0000-000009000000}"/>
              </a:ext>
            </a:extLst>
          </xdr:cNvPr>
          <xdr:cNvGrpSpPr/>
        </xdr:nvGrpSpPr>
        <xdr:grpSpPr>
          <a:xfrm>
            <a:off x="2114726" y="712918"/>
            <a:ext cx="1326542" cy="565021"/>
            <a:chOff x="2140784" y="742502"/>
            <a:chExt cx="1322853" cy="578812"/>
          </a:xfrm>
        </xdr:grpSpPr>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187223" y="744301"/>
              <a:ext cx="1276414" cy="57701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a:t>
              </a:r>
              <a:r>
                <a:rPr lang="en-GB" sz="1200" b="1">
                  <a:solidFill>
                    <a:schemeClr val="tx1"/>
                  </a:solidFill>
                </a:rPr>
                <a:t>Customers</a:t>
              </a:r>
              <a:endParaRPr lang="en-PK" sz="1100" b="1"/>
            </a:p>
          </xdr:txBody>
        </xdr:sp>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2140784" y="742502"/>
              <a:ext cx="155478" cy="577013"/>
            </a:xfrm>
            <a:prstGeom prst="round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K" sz="1100"/>
            </a:p>
          </xdr:txBody>
        </xdr:sp>
      </xdr:grpSp>
      <xdr:sp macro="" textlink="PIVOTS!B6">
        <xdr:nvSpPr>
          <xdr:cNvPr id="8" name="Rectangle 7">
            <a:extLst>
              <a:ext uri="{FF2B5EF4-FFF2-40B4-BE49-F238E27FC236}">
                <a16:creationId xmlns:a16="http://schemas.microsoft.com/office/drawing/2014/main" id="{00000000-0008-0000-0000-000008000000}"/>
              </a:ext>
            </a:extLst>
          </xdr:cNvPr>
          <xdr:cNvSpPr/>
        </xdr:nvSpPr>
        <xdr:spPr>
          <a:xfrm>
            <a:off x="2315105" y="1002611"/>
            <a:ext cx="1042780" cy="2274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7347A6-60FA-4066-8375-5141528A81A8}" type="TxLink">
              <a:rPr lang="en-US" sz="1600" b="1" i="0" u="none" strike="noStrike">
                <a:solidFill>
                  <a:srgbClr val="000000"/>
                </a:solidFill>
                <a:latin typeface="Calibri"/>
                <a:cs typeface="Calibri"/>
              </a:rPr>
              <a:pPr algn="ctr"/>
              <a:t>8</a:t>
            </a:fld>
            <a:endParaRPr lang="en-PK" sz="1400" b="1"/>
          </a:p>
        </xdr:txBody>
      </xdr:sp>
    </xdr:grpSp>
    <xdr:clientData/>
  </xdr:twoCellAnchor>
  <xdr:twoCellAnchor>
    <xdr:from>
      <xdr:col>13</xdr:col>
      <xdr:colOff>208644</xdr:colOff>
      <xdr:row>4</xdr:row>
      <xdr:rowOff>7049</xdr:rowOff>
    </xdr:from>
    <xdr:to>
      <xdr:col>16</xdr:col>
      <xdr:colOff>350797</xdr:colOff>
      <xdr:row>7</xdr:row>
      <xdr:rowOff>26126</xdr:rowOff>
    </xdr:to>
    <xdr:grpSp>
      <xdr:nvGrpSpPr>
        <xdr:cNvPr id="20" name="Group 19">
          <a:extLst>
            <a:ext uri="{FF2B5EF4-FFF2-40B4-BE49-F238E27FC236}">
              <a16:creationId xmlns:a16="http://schemas.microsoft.com/office/drawing/2014/main" id="{00000000-0008-0000-0000-000014000000}"/>
            </a:ext>
          </a:extLst>
        </xdr:cNvPr>
        <xdr:cNvGrpSpPr/>
      </xdr:nvGrpSpPr>
      <xdr:grpSpPr>
        <a:xfrm>
          <a:off x="9010450" y="747882"/>
          <a:ext cx="1967778" cy="574702"/>
          <a:chOff x="6677777" y="714620"/>
          <a:chExt cx="1295290" cy="566765"/>
        </a:xfrm>
      </xdr:grpSpPr>
      <xdr:grpSp>
        <xdr:nvGrpSpPr>
          <xdr:cNvPr id="29" name="Group 28">
            <a:extLst>
              <a:ext uri="{FF2B5EF4-FFF2-40B4-BE49-F238E27FC236}">
                <a16:creationId xmlns:a16="http://schemas.microsoft.com/office/drawing/2014/main" id="{00000000-0008-0000-0000-00001D000000}"/>
              </a:ext>
            </a:extLst>
          </xdr:cNvPr>
          <xdr:cNvGrpSpPr/>
        </xdr:nvGrpSpPr>
        <xdr:grpSpPr>
          <a:xfrm>
            <a:off x="6677777" y="714620"/>
            <a:ext cx="1295290" cy="566765"/>
            <a:chOff x="2139949" y="927041"/>
            <a:chExt cx="1291617" cy="496898"/>
          </a:xfrm>
        </xdr:grpSpPr>
        <xdr:sp macro="" textlink="">
          <xdr:nvSpPr>
            <xdr:cNvPr id="30" name="Rectangle: Rounded Corners 29">
              <a:extLst>
                <a:ext uri="{FF2B5EF4-FFF2-40B4-BE49-F238E27FC236}">
                  <a16:creationId xmlns:a16="http://schemas.microsoft.com/office/drawing/2014/main" id="{00000000-0008-0000-0000-00001E000000}"/>
                </a:ext>
              </a:extLst>
            </xdr:cNvPr>
            <xdr:cNvSpPr/>
          </xdr:nvSpPr>
          <xdr:spPr>
            <a:xfrm>
              <a:off x="2155152" y="930051"/>
              <a:ext cx="1276414" cy="493888"/>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a:t>
              </a:r>
              <a:r>
                <a:rPr lang="en-GB" sz="1200" b="1">
                  <a:solidFill>
                    <a:schemeClr val="tx1"/>
                  </a:solidFill>
                </a:rPr>
                <a:t>Sales</a:t>
              </a:r>
              <a:r>
                <a:rPr lang="en-GB" sz="1200" b="1" baseline="0">
                  <a:solidFill>
                    <a:schemeClr val="tx1"/>
                  </a:solidFill>
                </a:rPr>
                <a:t> Amount</a:t>
              </a:r>
              <a:endParaRPr lang="en-PK" sz="1100" b="1"/>
            </a:p>
          </xdr:txBody>
        </xdr:sp>
        <xdr:sp macro="" textlink="">
          <xdr:nvSpPr>
            <xdr:cNvPr id="31" name="Rectangle: Rounded Corners 30">
              <a:extLst>
                <a:ext uri="{FF2B5EF4-FFF2-40B4-BE49-F238E27FC236}">
                  <a16:creationId xmlns:a16="http://schemas.microsoft.com/office/drawing/2014/main" id="{00000000-0008-0000-0000-00001F000000}"/>
                </a:ext>
              </a:extLst>
            </xdr:cNvPr>
            <xdr:cNvSpPr/>
          </xdr:nvSpPr>
          <xdr:spPr>
            <a:xfrm>
              <a:off x="2139949" y="927041"/>
              <a:ext cx="155478" cy="493888"/>
            </a:xfrm>
            <a:prstGeom prst="roundRec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K" sz="1100"/>
            </a:p>
          </xdr:txBody>
        </xdr:sp>
      </xdr:grpSp>
      <xdr:sp macro="" textlink="PIVOTS!E6">
        <xdr:nvSpPr>
          <xdr:cNvPr id="39" name="Rectangle 38">
            <a:extLst>
              <a:ext uri="{FF2B5EF4-FFF2-40B4-BE49-F238E27FC236}">
                <a16:creationId xmlns:a16="http://schemas.microsoft.com/office/drawing/2014/main" id="{00000000-0008-0000-0000-000027000000}"/>
              </a:ext>
            </a:extLst>
          </xdr:cNvPr>
          <xdr:cNvSpPr/>
        </xdr:nvSpPr>
        <xdr:spPr>
          <a:xfrm>
            <a:off x="6830739" y="1013900"/>
            <a:ext cx="1132578" cy="1969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0A52F30-E94D-4BA8-8E9F-E72E507BE94D}" type="TxLink">
              <a:rPr lang="en-US" sz="1400" b="1" i="0" u="none" strike="noStrike">
                <a:solidFill>
                  <a:srgbClr val="000000"/>
                </a:solidFill>
                <a:latin typeface="Calibri"/>
                <a:cs typeface="Calibri"/>
              </a:rPr>
              <a:pPr algn="ctr"/>
              <a:t>Rs3,044,450</a:t>
            </a:fld>
            <a:endParaRPr lang="en-PK" sz="1600" b="1"/>
          </a:p>
        </xdr:txBody>
      </xdr:sp>
    </xdr:grpSp>
    <xdr:clientData/>
  </xdr:twoCellAnchor>
  <xdr:twoCellAnchor>
    <xdr:from>
      <xdr:col>17</xdr:col>
      <xdr:colOff>399143</xdr:colOff>
      <xdr:row>3</xdr:row>
      <xdr:rowOff>179498</xdr:rowOff>
    </xdr:from>
    <xdr:to>
      <xdr:col>21</xdr:col>
      <xdr:colOff>38655</xdr:colOff>
      <xdr:row>7</xdr:row>
      <xdr:rowOff>15403</xdr:rowOff>
    </xdr:to>
    <xdr:grpSp>
      <xdr:nvGrpSpPr>
        <xdr:cNvPr id="38" name="Group 37">
          <a:extLst>
            <a:ext uri="{FF2B5EF4-FFF2-40B4-BE49-F238E27FC236}">
              <a16:creationId xmlns:a16="http://schemas.microsoft.com/office/drawing/2014/main" id="{00000000-0008-0000-0000-000026000000}"/>
            </a:ext>
          </a:extLst>
        </xdr:cNvPr>
        <xdr:cNvGrpSpPr/>
      </xdr:nvGrpSpPr>
      <xdr:grpSpPr>
        <a:xfrm>
          <a:off x="11679212" y="735123"/>
          <a:ext cx="2073679" cy="576738"/>
          <a:chOff x="8234813" y="714713"/>
          <a:chExt cx="1307298" cy="565021"/>
        </a:xfrm>
      </xdr:grpSpPr>
      <xdr:grpSp>
        <xdr:nvGrpSpPr>
          <xdr:cNvPr id="32" name="Group 31">
            <a:extLst>
              <a:ext uri="{FF2B5EF4-FFF2-40B4-BE49-F238E27FC236}">
                <a16:creationId xmlns:a16="http://schemas.microsoft.com/office/drawing/2014/main" id="{00000000-0008-0000-0000-000020000000}"/>
              </a:ext>
            </a:extLst>
          </xdr:cNvPr>
          <xdr:cNvGrpSpPr/>
        </xdr:nvGrpSpPr>
        <xdr:grpSpPr>
          <a:xfrm>
            <a:off x="8234813" y="714713"/>
            <a:ext cx="1307298" cy="565021"/>
            <a:chOff x="2127956" y="928511"/>
            <a:chExt cx="1303610" cy="495428"/>
          </a:xfrm>
        </xdr:grpSpPr>
        <xdr:sp macro="" textlink="">
          <xdr:nvSpPr>
            <xdr:cNvPr id="33" name="Rectangle: Rounded Corners 32">
              <a:extLst>
                <a:ext uri="{FF2B5EF4-FFF2-40B4-BE49-F238E27FC236}">
                  <a16:creationId xmlns:a16="http://schemas.microsoft.com/office/drawing/2014/main" id="{00000000-0008-0000-0000-000021000000}"/>
                </a:ext>
              </a:extLst>
            </xdr:cNvPr>
            <xdr:cNvSpPr/>
          </xdr:nvSpPr>
          <xdr:spPr>
            <a:xfrm>
              <a:off x="2155152" y="930051"/>
              <a:ext cx="1276414" cy="493888"/>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a:t>
              </a:r>
              <a:r>
                <a:rPr lang="en-GB" sz="1200" b="1">
                  <a:solidFill>
                    <a:schemeClr val="tx1"/>
                  </a:solidFill>
                </a:rPr>
                <a:t>Stock</a:t>
              </a:r>
              <a:r>
                <a:rPr lang="en-GB" sz="1200" b="1" baseline="0">
                  <a:solidFill>
                    <a:schemeClr val="tx1"/>
                  </a:solidFill>
                </a:rPr>
                <a:t> Amount</a:t>
              </a:r>
              <a:endParaRPr lang="en-PK" sz="1100" b="1"/>
            </a:p>
          </xdr:txBody>
        </xdr:sp>
        <xdr:sp macro="" textlink="">
          <xdr:nvSpPr>
            <xdr:cNvPr id="34" name="Rectangle: Rounded Corners 33">
              <a:extLst>
                <a:ext uri="{FF2B5EF4-FFF2-40B4-BE49-F238E27FC236}">
                  <a16:creationId xmlns:a16="http://schemas.microsoft.com/office/drawing/2014/main" id="{00000000-0008-0000-0000-000022000000}"/>
                </a:ext>
              </a:extLst>
            </xdr:cNvPr>
            <xdr:cNvSpPr/>
          </xdr:nvSpPr>
          <xdr:spPr>
            <a:xfrm>
              <a:off x="2127956" y="928511"/>
              <a:ext cx="155478" cy="493888"/>
            </a:xfrm>
            <a:prstGeom prst="roundRect">
              <a:avLst/>
            </a:prstGeom>
            <a:solidFill>
              <a:schemeClr val="accent4">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K" sz="1100"/>
            </a:p>
          </xdr:txBody>
        </xdr:sp>
      </xdr:grpSp>
      <xdr:sp macro="" textlink="PIVOTS!F6">
        <xdr:nvSpPr>
          <xdr:cNvPr id="40" name="Rectangle 39">
            <a:extLst>
              <a:ext uri="{FF2B5EF4-FFF2-40B4-BE49-F238E27FC236}">
                <a16:creationId xmlns:a16="http://schemas.microsoft.com/office/drawing/2014/main" id="{00000000-0008-0000-0000-000028000000}"/>
              </a:ext>
            </a:extLst>
          </xdr:cNvPr>
          <xdr:cNvSpPr/>
        </xdr:nvSpPr>
        <xdr:spPr>
          <a:xfrm>
            <a:off x="8394909" y="999532"/>
            <a:ext cx="1138991" cy="2369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A6CFDF3-36E2-4F70-809C-4E447CB9A5E9}" type="TxLink">
              <a:rPr lang="en-US" sz="1400" b="1" i="0" u="none" strike="noStrike">
                <a:solidFill>
                  <a:srgbClr val="000000"/>
                </a:solidFill>
                <a:latin typeface="Calibri"/>
                <a:cs typeface="Calibri"/>
              </a:rPr>
              <a:pPr algn="ctr"/>
              <a:t>Rs10,453,460</a:t>
            </a:fld>
            <a:endParaRPr lang="en-PK" sz="1600" b="1"/>
          </a:p>
        </xdr:txBody>
      </xdr:sp>
    </xdr:grpSp>
    <xdr:clientData/>
  </xdr:twoCellAnchor>
  <xdr:twoCellAnchor>
    <xdr:from>
      <xdr:col>5</xdr:col>
      <xdr:colOff>435429</xdr:colOff>
      <xdr:row>4</xdr:row>
      <xdr:rowOff>5686</xdr:rowOff>
    </xdr:from>
    <xdr:to>
      <xdr:col>8</xdr:col>
      <xdr:colOff>350383</xdr:colOff>
      <xdr:row>7</xdr:row>
      <xdr:rowOff>29838</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4368901" y="746519"/>
          <a:ext cx="1740579" cy="579777"/>
          <a:chOff x="3598541" y="717793"/>
          <a:chExt cx="1294471" cy="572974"/>
        </a:xfrm>
      </xdr:grpSpPr>
      <xdr:grpSp>
        <xdr:nvGrpSpPr>
          <xdr:cNvPr id="24" name="Group 23">
            <a:extLst>
              <a:ext uri="{FF2B5EF4-FFF2-40B4-BE49-F238E27FC236}">
                <a16:creationId xmlns:a16="http://schemas.microsoft.com/office/drawing/2014/main" id="{00000000-0008-0000-0000-000018000000}"/>
              </a:ext>
            </a:extLst>
          </xdr:cNvPr>
          <xdr:cNvGrpSpPr/>
        </xdr:nvGrpSpPr>
        <xdr:grpSpPr>
          <a:xfrm>
            <a:off x="3598541" y="717793"/>
            <a:ext cx="1294471" cy="572974"/>
            <a:chOff x="2140783" y="928511"/>
            <a:chExt cx="1290783" cy="502235"/>
          </a:xfrm>
        </xdr:grpSpPr>
        <xdr:sp macro="" textlink="">
          <xdr:nvSpPr>
            <xdr:cNvPr id="26" name="Rectangle: Rounded Corners 25">
              <a:extLst>
                <a:ext uri="{FF2B5EF4-FFF2-40B4-BE49-F238E27FC236}">
                  <a16:creationId xmlns:a16="http://schemas.microsoft.com/office/drawing/2014/main" id="{00000000-0008-0000-0000-00001A000000}"/>
                </a:ext>
              </a:extLst>
            </xdr:cNvPr>
            <xdr:cNvSpPr/>
          </xdr:nvSpPr>
          <xdr:spPr>
            <a:xfrm>
              <a:off x="2155152" y="930051"/>
              <a:ext cx="1276414" cy="493888"/>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a:t>
              </a:r>
              <a:r>
                <a:rPr lang="en-GB" sz="1200" b="1">
                  <a:solidFill>
                    <a:schemeClr val="tx1"/>
                  </a:solidFill>
                </a:rPr>
                <a:t>Products</a:t>
              </a:r>
              <a:endParaRPr lang="en-PK" sz="1100" b="1"/>
            </a:p>
          </xdr:txBody>
        </xdr:sp>
        <xdr:sp macro="" textlink="">
          <xdr:nvSpPr>
            <xdr:cNvPr id="28" name="Rectangle: Rounded Corners 27">
              <a:extLst>
                <a:ext uri="{FF2B5EF4-FFF2-40B4-BE49-F238E27FC236}">
                  <a16:creationId xmlns:a16="http://schemas.microsoft.com/office/drawing/2014/main" id="{00000000-0008-0000-0000-00001C000000}"/>
                </a:ext>
              </a:extLst>
            </xdr:cNvPr>
            <xdr:cNvSpPr/>
          </xdr:nvSpPr>
          <xdr:spPr>
            <a:xfrm>
              <a:off x="2140783" y="928511"/>
              <a:ext cx="182676" cy="502235"/>
            </a:xfrm>
            <a:prstGeom prst="round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K" sz="1100"/>
            </a:p>
          </xdr:txBody>
        </xdr:sp>
      </xdr:grpSp>
      <xdr:sp macro="" textlink="PIVOTS!C6">
        <xdr:nvSpPr>
          <xdr:cNvPr id="42" name="Rectangle 41">
            <a:extLst>
              <a:ext uri="{FF2B5EF4-FFF2-40B4-BE49-F238E27FC236}">
                <a16:creationId xmlns:a16="http://schemas.microsoft.com/office/drawing/2014/main" id="{00000000-0008-0000-0000-00002A000000}"/>
              </a:ext>
            </a:extLst>
          </xdr:cNvPr>
          <xdr:cNvSpPr/>
        </xdr:nvSpPr>
        <xdr:spPr>
          <a:xfrm>
            <a:off x="3783014" y="1004407"/>
            <a:ext cx="1042779" cy="2274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2269133-5F14-48EE-824B-E3F129A950A9}" type="TxLink">
              <a:rPr lang="en-US" sz="1600" b="1" i="0" u="none" strike="noStrike">
                <a:solidFill>
                  <a:srgbClr val="000000"/>
                </a:solidFill>
                <a:latin typeface="Calibri"/>
                <a:cs typeface="Calibri"/>
              </a:rPr>
              <a:pPr algn="ctr"/>
              <a:t>18</a:t>
            </a:fld>
            <a:endParaRPr lang="en-PK" sz="1800" b="1"/>
          </a:p>
        </xdr:txBody>
      </xdr:sp>
    </xdr:grpSp>
    <xdr:clientData/>
  </xdr:twoCellAnchor>
  <xdr:twoCellAnchor>
    <xdr:from>
      <xdr:col>9</xdr:col>
      <xdr:colOff>154214</xdr:colOff>
      <xdr:row>4</xdr:row>
      <xdr:rowOff>8259</xdr:rowOff>
    </xdr:from>
    <xdr:to>
      <xdr:col>12</xdr:col>
      <xdr:colOff>224670</xdr:colOff>
      <xdr:row>7</xdr:row>
      <xdr:rowOff>29039</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6521853" y="749092"/>
          <a:ext cx="1896081" cy="576405"/>
          <a:chOff x="5130592" y="706759"/>
          <a:chExt cx="1309141" cy="568468"/>
        </a:xfrm>
      </xdr:grpSpPr>
      <xdr:grpSp>
        <xdr:nvGrpSpPr>
          <xdr:cNvPr id="35" name="Group 34">
            <a:extLst>
              <a:ext uri="{FF2B5EF4-FFF2-40B4-BE49-F238E27FC236}">
                <a16:creationId xmlns:a16="http://schemas.microsoft.com/office/drawing/2014/main" id="{00000000-0008-0000-0000-000023000000}"/>
              </a:ext>
            </a:extLst>
          </xdr:cNvPr>
          <xdr:cNvGrpSpPr/>
        </xdr:nvGrpSpPr>
        <xdr:grpSpPr>
          <a:xfrm>
            <a:off x="5130592" y="706759"/>
            <a:ext cx="1309141" cy="568468"/>
            <a:chOff x="2127956" y="928511"/>
            <a:chExt cx="1303610" cy="495428"/>
          </a:xfrm>
        </xdr:grpSpPr>
        <xdr:sp macro="" textlink="">
          <xdr:nvSpPr>
            <xdr:cNvPr id="36" name="Rectangle: Rounded Corners 35">
              <a:extLst>
                <a:ext uri="{FF2B5EF4-FFF2-40B4-BE49-F238E27FC236}">
                  <a16:creationId xmlns:a16="http://schemas.microsoft.com/office/drawing/2014/main" id="{00000000-0008-0000-0000-000024000000}"/>
                </a:ext>
              </a:extLst>
            </xdr:cNvPr>
            <xdr:cNvSpPr/>
          </xdr:nvSpPr>
          <xdr:spPr>
            <a:xfrm>
              <a:off x="2155152" y="930051"/>
              <a:ext cx="1276414" cy="493888"/>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a:t>
              </a:r>
              <a:r>
                <a:rPr lang="en-GB" sz="1100" baseline="0"/>
                <a:t> </a:t>
              </a:r>
              <a:r>
                <a:rPr lang="en-GB" sz="1200" b="1" baseline="0">
                  <a:solidFill>
                    <a:schemeClr val="tx1"/>
                  </a:solidFill>
                </a:rPr>
                <a:t>Purchased Amt</a:t>
              </a:r>
              <a:endParaRPr lang="en-PK" sz="1100" b="1"/>
            </a:p>
          </xdr:txBody>
        </xdr:sp>
        <xdr:sp macro="" textlink="">
          <xdr:nvSpPr>
            <xdr:cNvPr id="37" name="Rectangle: Rounded Corners 36">
              <a:extLst>
                <a:ext uri="{FF2B5EF4-FFF2-40B4-BE49-F238E27FC236}">
                  <a16:creationId xmlns:a16="http://schemas.microsoft.com/office/drawing/2014/main" id="{00000000-0008-0000-0000-000025000000}"/>
                </a:ext>
              </a:extLst>
            </xdr:cNvPr>
            <xdr:cNvSpPr/>
          </xdr:nvSpPr>
          <xdr:spPr>
            <a:xfrm>
              <a:off x="2127956" y="928511"/>
              <a:ext cx="155478" cy="493888"/>
            </a:xfrm>
            <a:prstGeom prst="round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K" sz="1100"/>
            </a:p>
          </xdr:txBody>
        </xdr:sp>
      </xdr:grpSp>
      <xdr:sp macro="" textlink="PIVOTS!D6">
        <xdr:nvSpPr>
          <xdr:cNvPr id="44" name="Rectangle 43">
            <a:extLst>
              <a:ext uri="{FF2B5EF4-FFF2-40B4-BE49-F238E27FC236}">
                <a16:creationId xmlns:a16="http://schemas.microsoft.com/office/drawing/2014/main" id="{00000000-0008-0000-0000-00002C000000}"/>
              </a:ext>
            </a:extLst>
          </xdr:cNvPr>
          <xdr:cNvSpPr/>
        </xdr:nvSpPr>
        <xdr:spPr>
          <a:xfrm>
            <a:off x="5294072" y="996454"/>
            <a:ext cx="1138991" cy="2079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E13F13A-3203-47F3-B4EB-AEEBBB38EA0A}" type="TxLink">
              <a:rPr lang="en-US" sz="1400" b="1" i="0" u="none" strike="noStrike">
                <a:solidFill>
                  <a:srgbClr val="000000"/>
                </a:solidFill>
                <a:latin typeface="Calibri"/>
                <a:cs typeface="Calibri"/>
              </a:rPr>
              <a:pPr algn="ctr"/>
              <a:t>Rs12,537,200</a:t>
            </a:fld>
            <a:endParaRPr lang="en-PK" sz="1600" b="1"/>
          </a:p>
        </xdr:txBody>
      </xdr:sp>
    </xdr:grpSp>
    <xdr:clientData/>
  </xdr:twoCellAnchor>
  <xdr:twoCellAnchor>
    <xdr:from>
      <xdr:col>21</xdr:col>
      <xdr:colOff>571500</xdr:colOff>
      <xdr:row>3</xdr:row>
      <xdr:rowOff>181360</xdr:rowOff>
    </xdr:from>
    <xdr:to>
      <xdr:col>25</xdr:col>
      <xdr:colOff>35278</xdr:colOff>
      <xdr:row>7</xdr:row>
      <xdr:rowOff>16131</xdr:rowOff>
    </xdr:to>
    <xdr:grpSp>
      <xdr:nvGrpSpPr>
        <xdr:cNvPr id="56" name="Group 55">
          <a:extLst>
            <a:ext uri="{FF2B5EF4-FFF2-40B4-BE49-F238E27FC236}">
              <a16:creationId xmlns:a16="http://schemas.microsoft.com/office/drawing/2014/main" id="{00000000-0008-0000-0000-000038000000}"/>
            </a:ext>
          </a:extLst>
        </xdr:cNvPr>
        <xdr:cNvGrpSpPr/>
      </xdr:nvGrpSpPr>
      <xdr:grpSpPr>
        <a:xfrm>
          <a:off x="14285736" y="736985"/>
          <a:ext cx="2109611" cy="575604"/>
          <a:chOff x="9712214" y="713173"/>
          <a:chExt cx="1316501" cy="565021"/>
        </a:xfrm>
      </xdr:grpSpPr>
      <xdr:grpSp>
        <xdr:nvGrpSpPr>
          <xdr:cNvPr id="46" name="Group 45">
            <a:extLst>
              <a:ext uri="{FF2B5EF4-FFF2-40B4-BE49-F238E27FC236}">
                <a16:creationId xmlns:a16="http://schemas.microsoft.com/office/drawing/2014/main" id="{00000000-0008-0000-0000-00002E000000}"/>
              </a:ext>
            </a:extLst>
          </xdr:cNvPr>
          <xdr:cNvGrpSpPr/>
        </xdr:nvGrpSpPr>
        <xdr:grpSpPr>
          <a:xfrm>
            <a:off x="9712214" y="713173"/>
            <a:ext cx="1307298" cy="565021"/>
            <a:chOff x="2127956" y="928511"/>
            <a:chExt cx="1303610" cy="495428"/>
          </a:xfrm>
        </xdr:grpSpPr>
        <xdr:sp macro="" textlink="">
          <xdr:nvSpPr>
            <xdr:cNvPr id="49" name="Rectangle: Rounded Corners 48">
              <a:extLst>
                <a:ext uri="{FF2B5EF4-FFF2-40B4-BE49-F238E27FC236}">
                  <a16:creationId xmlns:a16="http://schemas.microsoft.com/office/drawing/2014/main" id="{00000000-0008-0000-0000-000031000000}"/>
                </a:ext>
              </a:extLst>
            </xdr:cNvPr>
            <xdr:cNvSpPr/>
          </xdr:nvSpPr>
          <xdr:spPr>
            <a:xfrm>
              <a:off x="2155152" y="930051"/>
              <a:ext cx="1276414" cy="493888"/>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a:t>
              </a:r>
              <a:r>
                <a:rPr lang="en-GB" sz="1200" b="1">
                  <a:solidFill>
                    <a:schemeClr val="tx1"/>
                  </a:solidFill>
                </a:rPr>
                <a:t>Profit</a:t>
              </a:r>
              <a:r>
                <a:rPr lang="en-GB" sz="1200" b="1" baseline="0">
                  <a:solidFill>
                    <a:schemeClr val="tx1"/>
                  </a:solidFill>
                </a:rPr>
                <a:t> / Loss</a:t>
              </a:r>
              <a:endParaRPr lang="en-PK" sz="1100" b="1"/>
            </a:p>
          </xdr:txBody>
        </xdr:sp>
        <xdr:sp macro="" textlink="">
          <xdr:nvSpPr>
            <xdr:cNvPr id="50" name="Rectangle: Rounded Corners 49">
              <a:extLst>
                <a:ext uri="{FF2B5EF4-FFF2-40B4-BE49-F238E27FC236}">
                  <a16:creationId xmlns:a16="http://schemas.microsoft.com/office/drawing/2014/main" id="{00000000-0008-0000-0000-000032000000}"/>
                </a:ext>
              </a:extLst>
            </xdr:cNvPr>
            <xdr:cNvSpPr/>
          </xdr:nvSpPr>
          <xdr:spPr>
            <a:xfrm>
              <a:off x="2127956" y="928511"/>
              <a:ext cx="155478" cy="493888"/>
            </a:xfrm>
            <a:prstGeom prst="roundRect">
              <a:avLst/>
            </a:prstGeom>
            <a:solidFill>
              <a:schemeClr val="accent4">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PK" sz="1100"/>
            </a:p>
          </xdr:txBody>
        </xdr:sp>
      </xdr:grpSp>
      <xdr:sp macro="" textlink="PIVOTS!F11">
        <xdr:nvSpPr>
          <xdr:cNvPr id="51" name="Rectangle 50">
            <a:extLst>
              <a:ext uri="{FF2B5EF4-FFF2-40B4-BE49-F238E27FC236}">
                <a16:creationId xmlns:a16="http://schemas.microsoft.com/office/drawing/2014/main" id="{00000000-0008-0000-0000-000033000000}"/>
              </a:ext>
            </a:extLst>
          </xdr:cNvPr>
          <xdr:cNvSpPr/>
        </xdr:nvSpPr>
        <xdr:spPr>
          <a:xfrm>
            <a:off x="9896138" y="997992"/>
            <a:ext cx="1132577" cy="2064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8FBF8FA-8D11-4578-814A-2A1F2F755DBA}" type="TxLink">
              <a:rPr lang="en-US" sz="1400" b="1" i="0" u="none" strike="noStrike">
                <a:solidFill>
                  <a:srgbClr val="000000"/>
                </a:solidFill>
                <a:latin typeface="Calibri"/>
                <a:cs typeface="Calibri"/>
              </a:rPr>
              <a:pPr algn="ctr"/>
              <a:t>Rs960,710</a:t>
            </a:fld>
            <a:endParaRPr lang="en-PK" sz="1000" b="1"/>
          </a:p>
        </xdr:txBody>
      </xdr:sp>
    </xdr:grpSp>
    <xdr:clientData/>
  </xdr:twoCellAnchor>
  <xdr:twoCellAnchor>
    <xdr:from>
      <xdr:col>3</xdr:col>
      <xdr:colOff>12699</xdr:colOff>
      <xdr:row>8</xdr:row>
      <xdr:rowOff>180975</xdr:rowOff>
    </xdr:from>
    <xdr:to>
      <xdr:col>9</xdr:col>
      <xdr:colOff>420688</xdr:colOff>
      <xdr:row>19</xdr:row>
      <xdr:rowOff>158750</xdr:rowOff>
    </xdr:to>
    <xdr:graphicFrame macro="">
      <xdr:nvGraphicFramePr>
        <xdr:cNvPr id="53" name="Chart 52">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9</xdr:col>
      <xdr:colOff>492125</xdr:colOff>
      <xdr:row>9</xdr:row>
      <xdr:rowOff>8818</xdr:rowOff>
    </xdr:from>
    <xdr:to>
      <xdr:col>16</xdr:col>
      <xdr:colOff>433387</xdr:colOff>
      <xdr:row>19</xdr:row>
      <xdr:rowOff>149930</xdr:rowOff>
    </xdr:to>
    <xdr:graphicFrame macro="">
      <xdr:nvGraphicFramePr>
        <xdr:cNvPr id="54" name="Chart 53">
          <a:extLst>
            <a:ext uri="{FF2B5EF4-FFF2-40B4-BE49-F238E27FC236}">
              <a16:creationId xmlns:a16="http://schemas.microsoft.com/office/drawing/2014/main" id="{00000000-0008-0000-00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17638</xdr:colOff>
      <xdr:row>20</xdr:row>
      <xdr:rowOff>41453</xdr:rowOff>
    </xdr:from>
    <xdr:to>
      <xdr:col>25</xdr:col>
      <xdr:colOff>0</xdr:colOff>
      <xdr:row>35</xdr:row>
      <xdr:rowOff>4789</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3</xdr:col>
      <xdr:colOff>17638</xdr:colOff>
      <xdr:row>35</xdr:row>
      <xdr:rowOff>48377</xdr:rowOff>
    </xdr:from>
    <xdr:to>
      <xdr:col>25</xdr:col>
      <xdr:colOff>17639</xdr:colOff>
      <xdr:row>40</xdr:row>
      <xdr:rowOff>8820</xdr:rowOff>
    </xdr:to>
    <mc:AlternateContent xmlns:mc="http://schemas.openxmlformats.org/markup-compatibility/2006" xmlns:a14="http://schemas.microsoft.com/office/drawing/2010/main">
      <mc:Choice Requires="a14">
        <xdr:graphicFrame macro="">
          <xdr:nvGraphicFramePr>
            <xdr:cNvPr id="57" name="Product_Name">
              <a:extLst>
                <a:ext uri="{FF2B5EF4-FFF2-40B4-BE49-F238E27FC236}">
                  <a16:creationId xmlns:a16="http://schemas.microsoft.com/office/drawing/2014/main" id="{00000000-0008-0000-0000-00003900000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125485" y="6530669"/>
              <a:ext cx="14252223" cy="88648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641350</xdr:colOff>
      <xdr:row>0</xdr:row>
      <xdr:rowOff>158750</xdr:rowOff>
    </xdr:from>
    <xdr:to>
      <xdr:col>1</xdr:col>
      <xdr:colOff>1073150</xdr:colOff>
      <xdr:row>3</xdr:row>
      <xdr:rowOff>38100</xdr:rowOff>
    </xdr:to>
    <xdr:pic>
      <xdr:nvPicPr>
        <xdr:cNvPr id="2" name="Graphic 1" descr="Bar graph with upward trend with solid fill">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50900" y="158750"/>
          <a:ext cx="431800" cy="431800"/>
        </a:xfrm>
        <a:prstGeom prst="rect">
          <a:avLst/>
        </a:prstGeom>
      </xdr:spPr>
    </xdr:pic>
    <xdr:clientData/>
  </xdr:twoCellAnchor>
  <xdr:twoCellAnchor>
    <xdr:from>
      <xdr:col>0</xdr:col>
      <xdr:colOff>203200</xdr:colOff>
      <xdr:row>2</xdr:row>
      <xdr:rowOff>50800</xdr:rowOff>
    </xdr:from>
    <xdr:to>
      <xdr:col>2</xdr:col>
      <xdr:colOff>0</xdr:colOff>
      <xdr:row>5</xdr:row>
      <xdr:rowOff>107950</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203200" y="419100"/>
          <a:ext cx="17526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tx1"/>
              </a:solidFill>
            </a:rPr>
            <a:t>Inventory</a:t>
          </a:r>
          <a:r>
            <a:rPr lang="en-GB" sz="1400" b="1" baseline="0">
              <a:solidFill>
                <a:schemeClr val="tx1"/>
              </a:solidFill>
            </a:rPr>
            <a:t> Management System</a:t>
          </a:r>
          <a:endParaRPr lang="en-PK" sz="1400" b="1">
            <a:solidFill>
              <a:schemeClr val="tx1"/>
            </a:solidFill>
          </a:endParaRPr>
        </a:p>
      </xdr:txBody>
    </xdr:sp>
    <xdr:clientData/>
  </xdr:twoCellAnchor>
  <xdr:twoCellAnchor>
    <xdr:from>
      <xdr:col>1</xdr:col>
      <xdr:colOff>526562</xdr:colOff>
      <xdr:row>8</xdr:row>
      <xdr:rowOff>101600</xdr:rowOff>
    </xdr:from>
    <xdr:to>
      <xdr:col>1</xdr:col>
      <xdr:colOff>1739900</xdr:colOff>
      <xdr:row>9</xdr:row>
      <xdr:rowOff>171450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100-000004000000}"/>
            </a:ext>
          </a:extLst>
        </xdr:cNvPr>
        <xdr:cNvSpPr/>
      </xdr:nvSpPr>
      <xdr:spPr>
        <a:xfrm>
          <a:off x="736112" y="15748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Dashboard</a:t>
          </a:r>
          <a:endParaRPr lang="en-GB" sz="1400" b="0" baseline="0">
            <a:solidFill>
              <a:schemeClr val="bg2">
                <a:lumMod val="50000"/>
              </a:schemeClr>
            </a:solidFill>
          </a:endParaRPr>
        </a:p>
      </xdr:txBody>
    </xdr:sp>
    <xdr:clientData/>
  </xdr:twoCellAnchor>
  <xdr:twoCellAnchor>
    <xdr:from>
      <xdr:col>1</xdr:col>
      <xdr:colOff>526562</xdr:colOff>
      <xdr:row>9</xdr:row>
      <xdr:rowOff>142421</xdr:rowOff>
    </xdr:from>
    <xdr:to>
      <xdr:col>1</xdr:col>
      <xdr:colOff>1739900</xdr:colOff>
      <xdr:row>11</xdr:row>
      <xdr:rowOff>28121</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100-000005000000}"/>
            </a:ext>
          </a:extLst>
        </xdr:cNvPr>
        <xdr:cNvSpPr/>
      </xdr:nvSpPr>
      <xdr:spPr>
        <a:xfrm>
          <a:off x="736112" y="1799771"/>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Customers</a:t>
          </a:r>
        </a:p>
      </xdr:txBody>
    </xdr:sp>
    <xdr:clientData/>
  </xdr:twoCellAnchor>
  <xdr:twoCellAnchor>
    <xdr:from>
      <xdr:col>1</xdr:col>
      <xdr:colOff>526562</xdr:colOff>
      <xdr:row>10</xdr:row>
      <xdr:rowOff>183242</xdr:rowOff>
    </xdr:from>
    <xdr:to>
      <xdr:col>1</xdr:col>
      <xdr:colOff>1739900</xdr:colOff>
      <xdr:row>12</xdr:row>
      <xdr:rowOff>68942</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100-000006000000}"/>
            </a:ext>
          </a:extLst>
        </xdr:cNvPr>
        <xdr:cNvSpPr/>
      </xdr:nvSpPr>
      <xdr:spPr>
        <a:xfrm>
          <a:off x="736112" y="2024742"/>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Products</a:t>
          </a:r>
        </a:p>
      </xdr:txBody>
    </xdr:sp>
    <xdr:clientData/>
  </xdr:twoCellAnchor>
  <xdr:twoCellAnchor>
    <xdr:from>
      <xdr:col>1</xdr:col>
      <xdr:colOff>526562</xdr:colOff>
      <xdr:row>12</xdr:row>
      <xdr:rowOff>39913</xdr:rowOff>
    </xdr:from>
    <xdr:to>
      <xdr:col>1</xdr:col>
      <xdr:colOff>1739900</xdr:colOff>
      <xdr:row>13</xdr:row>
      <xdr:rowOff>109763</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100-000007000000}"/>
            </a:ext>
          </a:extLst>
        </xdr:cNvPr>
        <xdr:cNvSpPr/>
      </xdr:nvSpPr>
      <xdr:spPr>
        <a:xfrm>
          <a:off x="736112" y="2249713"/>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Vendors</a:t>
          </a:r>
          <a:endParaRPr lang="en-GB" sz="1400" b="0" baseline="0">
            <a:solidFill>
              <a:schemeClr val="bg2">
                <a:lumMod val="50000"/>
              </a:schemeClr>
            </a:solidFill>
          </a:endParaRPr>
        </a:p>
      </xdr:txBody>
    </xdr:sp>
    <xdr:clientData/>
  </xdr:twoCellAnchor>
  <xdr:twoCellAnchor>
    <xdr:from>
      <xdr:col>1</xdr:col>
      <xdr:colOff>526562</xdr:colOff>
      <xdr:row>13</xdr:row>
      <xdr:rowOff>80734</xdr:rowOff>
    </xdr:from>
    <xdr:to>
      <xdr:col>1</xdr:col>
      <xdr:colOff>1739900</xdr:colOff>
      <xdr:row>14</xdr:row>
      <xdr:rowOff>150584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100-000008000000}"/>
            </a:ext>
          </a:extLst>
        </xdr:cNvPr>
        <xdr:cNvSpPr/>
      </xdr:nvSpPr>
      <xdr:spPr>
        <a:xfrm>
          <a:off x="736112" y="2474684"/>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New Entry</a:t>
          </a:r>
          <a:endParaRPr lang="en-GB" sz="1400" b="0" baseline="0">
            <a:solidFill>
              <a:schemeClr val="bg2">
                <a:lumMod val="50000"/>
              </a:schemeClr>
            </a:solidFill>
          </a:endParaRPr>
        </a:p>
      </xdr:txBody>
    </xdr:sp>
    <xdr:clientData/>
  </xdr:twoCellAnchor>
  <xdr:twoCellAnchor>
    <xdr:from>
      <xdr:col>1</xdr:col>
      <xdr:colOff>526562</xdr:colOff>
      <xdr:row>14</xdr:row>
      <xdr:rowOff>121555</xdr:rowOff>
    </xdr:from>
    <xdr:to>
      <xdr:col>1</xdr:col>
      <xdr:colOff>1739900</xdr:colOff>
      <xdr:row>16</xdr:row>
      <xdr:rowOff>7255</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100-000009000000}"/>
            </a:ext>
          </a:extLst>
        </xdr:cNvPr>
        <xdr:cNvSpPr/>
      </xdr:nvSpPr>
      <xdr:spPr>
        <a:xfrm>
          <a:off x="736112" y="2699655"/>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Purchase</a:t>
          </a:r>
          <a:endParaRPr lang="en-GB" sz="1400" b="0" baseline="0">
            <a:solidFill>
              <a:schemeClr val="bg2">
                <a:lumMod val="50000"/>
              </a:schemeClr>
            </a:solidFill>
          </a:endParaRPr>
        </a:p>
      </xdr:txBody>
    </xdr:sp>
    <xdr:clientData/>
  </xdr:twoCellAnchor>
  <xdr:twoCellAnchor>
    <xdr:from>
      <xdr:col>1</xdr:col>
      <xdr:colOff>526562</xdr:colOff>
      <xdr:row>15</xdr:row>
      <xdr:rowOff>162376</xdr:rowOff>
    </xdr:from>
    <xdr:to>
      <xdr:col>1</xdr:col>
      <xdr:colOff>1739900</xdr:colOff>
      <xdr:row>17</xdr:row>
      <xdr:rowOff>48076</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100-00000A000000}"/>
            </a:ext>
          </a:extLst>
        </xdr:cNvPr>
        <xdr:cNvSpPr/>
      </xdr:nvSpPr>
      <xdr:spPr>
        <a:xfrm>
          <a:off x="736112" y="2924626"/>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Sales</a:t>
          </a:r>
          <a:endParaRPr lang="en-GB" sz="1400" b="0" baseline="0">
            <a:solidFill>
              <a:schemeClr val="bg2">
                <a:lumMod val="50000"/>
              </a:schemeClr>
            </a:solidFill>
          </a:endParaRPr>
        </a:p>
      </xdr:txBody>
    </xdr:sp>
    <xdr:clientData/>
  </xdr:twoCellAnchor>
  <xdr:twoCellAnchor>
    <xdr:from>
      <xdr:col>1</xdr:col>
      <xdr:colOff>526562</xdr:colOff>
      <xdr:row>17</xdr:row>
      <xdr:rowOff>19050</xdr:rowOff>
    </xdr:from>
    <xdr:to>
      <xdr:col>1</xdr:col>
      <xdr:colOff>1739900</xdr:colOff>
      <xdr:row>18</xdr:row>
      <xdr:rowOff>88900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00000000-0008-0000-0100-00000B000000}"/>
            </a:ext>
          </a:extLst>
        </xdr:cNvPr>
        <xdr:cNvSpPr/>
      </xdr:nvSpPr>
      <xdr:spPr>
        <a:xfrm>
          <a:off x="736112" y="31496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Inventory</a:t>
          </a:r>
          <a:endParaRPr lang="en-GB" sz="1400" b="0" baseline="0">
            <a:solidFill>
              <a:schemeClr val="bg2">
                <a:lumMod val="50000"/>
              </a:schemeClr>
            </a:solidFill>
          </a:endParaRPr>
        </a:p>
      </xdr:txBody>
    </xdr:sp>
    <xdr:clientData/>
  </xdr:twoCellAnchor>
  <xdr:twoCellAnchor editAs="oneCell">
    <xdr:from>
      <xdr:col>1</xdr:col>
      <xdr:colOff>107100</xdr:colOff>
      <xdr:row>8</xdr:row>
      <xdr:rowOff>95186</xdr:rowOff>
    </xdr:from>
    <xdr:to>
      <xdr:col>1</xdr:col>
      <xdr:colOff>323000</xdr:colOff>
      <xdr:row>9</xdr:row>
      <xdr:rowOff>126936</xdr:rowOff>
    </xdr:to>
    <xdr:pic>
      <xdr:nvPicPr>
        <xdr:cNvPr id="12" name="Graphic 11" descr="Gauge with solid fill">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6650" y="1568386"/>
          <a:ext cx="215900" cy="215900"/>
        </a:xfrm>
        <a:prstGeom prst="rect">
          <a:avLst/>
        </a:prstGeom>
      </xdr:spPr>
    </xdr:pic>
    <xdr:clientData/>
  </xdr:twoCellAnchor>
  <xdr:twoCellAnchor editAs="oneCell">
    <xdr:from>
      <xdr:col>1</xdr:col>
      <xdr:colOff>81700</xdr:colOff>
      <xdr:row>9</xdr:row>
      <xdr:rowOff>117929</xdr:rowOff>
    </xdr:from>
    <xdr:to>
      <xdr:col>1</xdr:col>
      <xdr:colOff>323000</xdr:colOff>
      <xdr:row>10</xdr:row>
      <xdr:rowOff>175079</xdr:rowOff>
    </xdr:to>
    <xdr:pic>
      <xdr:nvPicPr>
        <xdr:cNvPr id="13" name="Graphic 12" descr="Target Audience with solid fill">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1250" y="1775279"/>
          <a:ext cx="241300" cy="241300"/>
        </a:xfrm>
        <a:prstGeom prst="rect">
          <a:avLst/>
        </a:prstGeom>
      </xdr:spPr>
    </xdr:pic>
    <xdr:clientData/>
  </xdr:twoCellAnchor>
  <xdr:twoCellAnchor editAs="oneCell">
    <xdr:from>
      <xdr:col>1</xdr:col>
      <xdr:colOff>92000</xdr:colOff>
      <xdr:row>12</xdr:row>
      <xdr:rowOff>49115</xdr:rowOff>
    </xdr:from>
    <xdr:to>
      <xdr:col>1</xdr:col>
      <xdr:colOff>323000</xdr:colOff>
      <xdr:row>13</xdr:row>
      <xdr:rowOff>95965</xdr:rowOff>
    </xdr:to>
    <xdr:pic>
      <xdr:nvPicPr>
        <xdr:cNvPr id="14" name="Graphic 13" descr="User with solid fill">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01550" y="2258915"/>
          <a:ext cx="231000" cy="231000"/>
        </a:xfrm>
        <a:prstGeom prst="rect">
          <a:avLst/>
        </a:prstGeom>
      </xdr:spPr>
    </xdr:pic>
    <xdr:clientData/>
  </xdr:twoCellAnchor>
  <xdr:twoCellAnchor editAs="oneCell">
    <xdr:from>
      <xdr:col>1</xdr:col>
      <xdr:colOff>62650</xdr:colOff>
      <xdr:row>10</xdr:row>
      <xdr:rowOff>166072</xdr:rowOff>
    </xdr:from>
    <xdr:to>
      <xdr:col>1</xdr:col>
      <xdr:colOff>323000</xdr:colOff>
      <xdr:row>12</xdr:row>
      <xdr:rowOff>58122</xdr:rowOff>
    </xdr:to>
    <xdr:pic>
      <xdr:nvPicPr>
        <xdr:cNvPr id="15" name="Graphic 14" descr="Balloons with solid fill">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2200" y="2007572"/>
          <a:ext cx="260350" cy="260350"/>
        </a:xfrm>
        <a:prstGeom prst="rect">
          <a:avLst/>
        </a:prstGeom>
      </xdr:spPr>
    </xdr:pic>
    <xdr:clientData/>
  </xdr:twoCellAnchor>
  <xdr:twoCellAnchor editAs="oneCell">
    <xdr:from>
      <xdr:col>1</xdr:col>
      <xdr:colOff>107100</xdr:colOff>
      <xdr:row>14</xdr:row>
      <xdr:rowOff>150201</xdr:rowOff>
    </xdr:from>
    <xdr:to>
      <xdr:col>1</xdr:col>
      <xdr:colOff>323000</xdr:colOff>
      <xdr:row>15</xdr:row>
      <xdr:rowOff>183811</xdr:rowOff>
    </xdr:to>
    <xdr:pic>
      <xdr:nvPicPr>
        <xdr:cNvPr id="16" name="Graphic 15" descr="Checklist with solid fill">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16650" y="2728301"/>
          <a:ext cx="215900" cy="217760"/>
        </a:xfrm>
        <a:prstGeom prst="rect">
          <a:avLst/>
        </a:prstGeom>
      </xdr:spPr>
    </xdr:pic>
    <xdr:clientData/>
  </xdr:twoCellAnchor>
  <xdr:twoCellAnchor editAs="oneCell">
    <xdr:from>
      <xdr:col>1</xdr:col>
      <xdr:colOff>66600</xdr:colOff>
      <xdr:row>13</xdr:row>
      <xdr:rowOff>86958</xdr:rowOff>
    </xdr:from>
    <xdr:to>
      <xdr:col>1</xdr:col>
      <xdr:colOff>323000</xdr:colOff>
      <xdr:row>14</xdr:row>
      <xdr:rowOff>159208</xdr:rowOff>
    </xdr:to>
    <xdr:pic>
      <xdr:nvPicPr>
        <xdr:cNvPr id="17" name="Graphic 16" descr="Cloud Computing with solid fill">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76150" y="2480908"/>
          <a:ext cx="256400" cy="256400"/>
        </a:xfrm>
        <a:prstGeom prst="rect">
          <a:avLst/>
        </a:prstGeom>
      </xdr:spPr>
    </xdr:pic>
    <xdr:clientData/>
  </xdr:twoCellAnchor>
  <xdr:twoCellAnchor editAs="oneCell">
    <xdr:from>
      <xdr:col>1</xdr:col>
      <xdr:colOff>102300</xdr:colOff>
      <xdr:row>17</xdr:row>
      <xdr:rowOff>20600</xdr:rowOff>
    </xdr:from>
    <xdr:to>
      <xdr:col>1</xdr:col>
      <xdr:colOff>323000</xdr:colOff>
      <xdr:row>18</xdr:row>
      <xdr:rowOff>57150</xdr:rowOff>
    </xdr:to>
    <xdr:pic>
      <xdr:nvPicPr>
        <xdr:cNvPr id="18" name="Graphic 17" descr="Database with solid fill">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11850" y="3151150"/>
          <a:ext cx="220700" cy="220700"/>
        </a:xfrm>
        <a:prstGeom prst="rect">
          <a:avLst/>
        </a:prstGeom>
      </xdr:spPr>
    </xdr:pic>
    <xdr:clientData/>
  </xdr:twoCellAnchor>
  <xdr:twoCellAnchor editAs="oneCell">
    <xdr:from>
      <xdr:col>1</xdr:col>
      <xdr:colOff>99900</xdr:colOff>
      <xdr:row>15</xdr:row>
      <xdr:rowOff>174804</xdr:rowOff>
    </xdr:from>
    <xdr:to>
      <xdr:col>1</xdr:col>
      <xdr:colOff>323000</xdr:colOff>
      <xdr:row>17</xdr:row>
      <xdr:rowOff>29604</xdr:rowOff>
    </xdr:to>
    <xdr:pic>
      <xdr:nvPicPr>
        <xdr:cNvPr id="19" name="Graphic 18" descr="List with solid fill">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09450" y="2937054"/>
          <a:ext cx="223100" cy="223100"/>
        </a:xfrm>
        <a:prstGeom prst="rect">
          <a:avLst/>
        </a:prstGeom>
      </xdr:spPr>
    </xdr:pic>
    <xdr:clientData/>
  </xdr:twoCellAnchor>
  <xdr:twoCellAnchor>
    <xdr:from>
      <xdr:col>1</xdr:col>
      <xdr:colOff>526562</xdr:colOff>
      <xdr:row>8</xdr:row>
      <xdr:rowOff>101600</xdr:rowOff>
    </xdr:from>
    <xdr:to>
      <xdr:col>1</xdr:col>
      <xdr:colOff>1739900</xdr:colOff>
      <xdr:row>9</xdr:row>
      <xdr:rowOff>171450</xdr:rowOff>
    </xdr:to>
    <xdr:sp macro="" textlink="">
      <xdr:nvSpPr>
        <xdr:cNvPr id="23" name="Rectangle 22">
          <a:hlinkClick xmlns:r="http://schemas.openxmlformats.org/officeDocument/2006/relationships" r:id="rId3"/>
          <a:extLst>
            <a:ext uri="{FF2B5EF4-FFF2-40B4-BE49-F238E27FC236}">
              <a16:creationId xmlns:a16="http://schemas.microsoft.com/office/drawing/2014/main" id="{00000000-0008-0000-0100-000017000000}"/>
            </a:ext>
          </a:extLst>
        </xdr:cNvPr>
        <xdr:cNvSpPr/>
      </xdr:nvSpPr>
      <xdr:spPr>
        <a:xfrm>
          <a:off x="736112" y="15748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Dashboard</a:t>
          </a:r>
          <a:endParaRPr lang="en-GB" sz="1400" b="0" baseline="0">
            <a:solidFill>
              <a:schemeClr val="bg2">
                <a:lumMod val="50000"/>
              </a:schemeClr>
            </a:solidFill>
          </a:endParaRPr>
        </a:p>
      </xdr:txBody>
    </xdr:sp>
    <xdr:clientData/>
  </xdr:twoCellAnchor>
  <xdr:twoCellAnchor>
    <xdr:from>
      <xdr:col>1</xdr:col>
      <xdr:colOff>526562</xdr:colOff>
      <xdr:row>9</xdr:row>
      <xdr:rowOff>142421</xdr:rowOff>
    </xdr:from>
    <xdr:to>
      <xdr:col>1</xdr:col>
      <xdr:colOff>1739900</xdr:colOff>
      <xdr:row>11</xdr:row>
      <xdr:rowOff>28121</xdr:rowOff>
    </xdr:to>
    <xdr:sp macro="" textlink="">
      <xdr:nvSpPr>
        <xdr:cNvPr id="24" name="Rectangle 23">
          <a:hlinkClick xmlns:r="http://schemas.openxmlformats.org/officeDocument/2006/relationships" r:id="rId4"/>
          <a:extLst>
            <a:ext uri="{FF2B5EF4-FFF2-40B4-BE49-F238E27FC236}">
              <a16:creationId xmlns:a16="http://schemas.microsoft.com/office/drawing/2014/main" id="{00000000-0008-0000-0100-000018000000}"/>
            </a:ext>
          </a:extLst>
        </xdr:cNvPr>
        <xdr:cNvSpPr/>
      </xdr:nvSpPr>
      <xdr:spPr>
        <a:xfrm>
          <a:off x="736112" y="1799771"/>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baseline="0">
              <a:solidFill>
                <a:schemeClr val="tx1"/>
              </a:solidFill>
            </a:rPr>
            <a:t>Customers</a:t>
          </a:r>
        </a:p>
      </xdr:txBody>
    </xdr:sp>
    <xdr:clientData/>
  </xdr:twoCellAnchor>
  <xdr:twoCellAnchor>
    <xdr:from>
      <xdr:col>1</xdr:col>
      <xdr:colOff>526562</xdr:colOff>
      <xdr:row>10</xdr:row>
      <xdr:rowOff>183242</xdr:rowOff>
    </xdr:from>
    <xdr:to>
      <xdr:col>1</xdr:col>
      <xdr:colOff>1739900</xdr:colOff>
      <xdr:row>12</xdr:row>
      <xdr:rowOff>68942</xdr:rowOff>
    </xdr:to>
    <xdr:sp macro="" textlink="">
      <xdr:nvSpPr>
        <xdr:cNvPr id="25" name="Rectangle 24">
          <a:hlinkClick xmlns:r="http://schemas.openxmlformats.org/officeDocument/2006/relationships" r:id="rId5"/>
          <a:extLst>
            <a:ext uri="{FF2B5EF4-FFF2-40B4-BE49-F238E27FC236}">
              <a16:creationId xmlns:a16="http://schemas.microsoft.com/office/drawing/2014/main" id="{00000000-0008-0000-0100-000019000000}"/>
            </a:ext>
          </a:extLst>
        </xdr:cNvPr>
        <xdr:cNvSpPr/>
      </xdr:nvSpPr>
      <xdr:spPr>
        <a:xfrm>
          <a:off x="736112" y="2024742"/>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Products</a:t>
          </a:r>
        </a:p>
      </xdr:txBody>
    </xdr:sp>
    <xdr:clientData/>
  </xdr:twoCellAnchor>
  <xdr:twoCellAnchor>
    <xdr:from>
      <xdr:col>1</xdr:col>
      <xdr:colOff>526562</xdr:colOff>
      <xdr:row>12</xdr:row>
      <xdr:rowOff>39913</xdr:rowOff>
    </xdr:from>
    <xdr:to>
      <xdr:col>1</xdr:col>
      <xdr:colOff>1739900</xdr:colOff>
      <xdr:row>13</xdr:row>
      <xdr:rowOff>109763</xdr:rowOff>
    </xdr:to>
    <xdr:sp macro="" textlink="">
      <xdr:nvSpPr>
        <xdr:cNvPr id="26" name="Rectangle 25">
          <a:hlinkClick xmlns:r="http://schemas.openxmlformats.org/officeDocument/2006/relationships" r:id="rId6"/>
          <a:extLst>
            <a:ext uri="{FF2B5EF4-FFF2-40B4-BE49-F238E27FC236}">
              <a16:creationId xmlns:a16="http://schemas.microsoft.com/office/drawing/2014/main" id="{00000000-0008-0000-0100-00001A000000}"/>
            </a:ext>
          </a:extLst>
        </xdr:cNvPr>
        <xdr:cNvSpPr/>
      </xdr:nvSpPr>
      <xdr:spPr>
        <a:xfrm>
          <a:off x="736112" y="2249713"/>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Vendors</a:t>
          </a:r>
          <a:endParaRPr lang="en-GB" sz="1400" b="0" baseline="0">
            <a:solidFill>
              <a:schemeClr val="bg2">
                <a:lumMod val="50000"/>
              </a:schemeClr>
            </a:solidFill>
          </a:endParaRPr>
        </a:p>
      </xdr:txBody>
    </xdr:sp>
    <xdr:clientData/>
  </xdr:twoCellAnchor>
  <xdr:twoCellAnchor>
    <xdr:from>
      <xdr:col>1</xdr:col>
      <xdr:colOff>526562</xdr:colOff>
      <xdr:row>13</xdr:row>
      <xdr:rowOff>80734</xdr:rowOff>
    </xdr:from>
    <xdr:to>
      <xdr:col>1</xdr:col>
      <xdr:colOff>1739900</xdr:colOff>
      <xdr:row>14</xdr:row>
      <xdr:rowOff>150584</xdr:rowOff>
    </xdr:to>
    <xdr:sp macro="" textlink="">
      <xdr:nvSpPr>
        <xdr:cNvPr id="27" name="Rectangle 26">
          <a:hlinkClick xmlns:r="http://schemas.openxmlformats.org/officeDocument/2006/relationships" r:id="rId7"/>
          <a:extLst>
            <a:ext uri="{FF2B5EF4-FFF2-40B4-BE49-F238E27FC236}">
              <a16:creationId xmlns:a16="http://schemas.microsoft.com/office/drawing/2014/main" id="{00000000-0008-0000-0100-00001B000000}"/>
            </a:ext>
          </a:extLst>
        </xdr:cNvPr>
        <xdr:cNvSpPr/>
      </xdr:nvSpPr>
      <xdr:spPr>
        <a:xfrm>
          <a:off x="736112" y="2474684"/>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New Entry</a:t>
          </a:r>
          <a:endParaRPr lang="en-GB" sz="1400" b="0" baseline="0">
            <a:solidFill>
              <a:schemeClr val="bg2">
                <a:lumMod val="50000"/>
              </a:schemeClr>
            </a:solidFill>
          </a:endParaRPr>
        </a:p>
      </xdr:txBody>
    </xdr:sp>
    <xdr:clientData/>
  </xdr:twoCellAnchor>
  <xdr:twoCellAnchor>
    <xdr:from>
      <xdr:col>1</xdr:col>
      <xdr:colOff>526562</xdr:colOff>
      <xdr:row>14</xdr:row>
      <xdr:rowOff>121555</xdr:rowOff>
    </xdr:from>
    <xdr:to>
      <xdr:col>1</xdr:col>
      <xdr:colOff>1739900</xdr:colOff>
      <xdr:row>16</xdr:row>
      <xdr:rowOff>7255</xdr:rowOff>
    </xdr:to>
    <xdr:sp macro="" textlink="">
      <xdr:nvSpPr>
        <xdr:cNvPr id="28" name="Rectangle 27">
          <a:hlinkClick xmlns:r="http://schemas.openxmlformats.org/officeDocument/2006/relationships" r:id="rId8"/>
          <a:extLst>
            <a:ext uri="{FF2B5EF4-FFF2-40B4-BE49-F238E27FC236}">
              <a16:creationId xmlns:a16="http://schemas.microsoft.com/office/drawing/2014/main" id="{00000000-0008-0000-0100-00001C000000}"/>
            </a:ext>
          </a:extLst>
        </xdr:cNvPr>
        <xdr:cNvSpPr/>
      </xdr:nvSpPr>
      <xdr:spPr>
        <a:xfrm>
          <a:off x="736112" y="2699655"/>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Purchase</a:t>
          </a:r>
          <a:endParaRPr lang="en-GB" sz="1400" b="0" baseline="0">
            <a:solidFill>
              <a:schemeClr val="bg2">
                <a:lumMod val="50000"/>
              </a:schemeClr>
            </a:solidFill>
          </a:endParaRPr>
        </a:p>
      </xdr:txBody>
    </xdr:sp>
    <xdr:clientData/>
  </xdr:twoCellAnchor>
  <xdr:twoCellAnchor>
    <xdr:from>
      <xdr:col>1</xdr:col>
      <xdr:colOff>526562</xdr:colOff>
      <xdr:row>15</xdr:row>
      <xdr:rowOff>162376</xdr:rowOff>
    </xdr:from>
    <xdr:to>
      <xdr:col>1</xdr:col>
      <xdr:colOff>1739900</xdr:colOff>
      <xdr:row>17</xdr:row>
      <xdr:rowOff>48076</xdr:rowOff>
    </xdr:to>
    <xdr:sp macro="" textlink="">
      <xdr:nvSpPr>
        <xdr:cNvPr id="29" name="Rectangle 28">
          <a:hlinkClick xmlns:r="http://schemas.openxmlformats.org/officeDocument/2006/relationships" r:id="rId9"/>
          <a:extLst>
            <a:ext uri="{FF2B5EF4-FFF2-40B4-BE49-F238E27FC236}">
              <a16:creationId xmlns:a16="http://schemas.microsoft.com/office/drawing/2014/main" id="{00000000-0008-0000-0100-00001D000000}"/>
            </a:ext>
          </a:extLst>
        </xdr:cNvPr>
        <xdr:cNvSpPr/>
      </xdr:nvSpPr>
      <xdr:spPr>
        <a:xfrm>
          <a:off x="736112" y="2924626"/>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Sales</a:t>
          </a:r>
          <a:endParaRPr lang="en-GB" sz="1400" b="0" baseline="0">
            <a:solidFill>
              <a:schemeClr val="bg2">
                <a:lumMod val="50000"/>
              </a:schemeClr>
            </a:solidFill>
          </a:endParaRPr>
        </a:p>
      </xdr:txBody>
    </xdr:sp>
    <xdr:clientData/>
  </xdr:twoCellAnchor>
  <xdr:twoCellAnchor>
    <xdr:from>
      <xdr:col>1</xdr:col>
      <xdr:colOff>526562</xdr:colOff>
      <xdr:row>17</xdr:row>
      <xdr:rowOff>19050</xdr:rowOff>
    </xdr:from>
    <xdr:to>
      <xdr:col>1</xdr:col>
      <xdr:colOff>1739900</xdr:colOff>
      <xdr:row>18</xdr:row>
      <xdr:rowOff>88900</xdr:rowOff>
    </xdr:to>
    <xdr:sp macro="" textlink="">
      <xdr:nvSpPr>
        <xdr:cNvPr id="30" name="Rectangle 29">
          <a:hlinkClick xmlns:r="http://schemas.openxmlformats.org/officeDocument/2006/relationships" r:id="rId10"/>
          <a:extLst>
            <a:ext uri="{FF2B5EF4-FFF2-40B4-BE49-F238E27FC236}">
              <a16:creationId xmlns:a16="http://schemas.microsoft.com/office/drawing/2014/main" id="{00000000-0008-0000-0100-00001E000000}"/>
            </a:ext>
          </a:extLst>
        </xdr:cNvPr>
        <xdr:cNvSpPr/>
      </xdr:nvSpPr>
      <xdr:spPr>
        <a:xfrm>
          <a:off x="736112" y="31496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Inventory</a:t>
          </a:r>
          <a:endParaRPr lang="en-GB" sz="1400" b="0" baseline="0">
            <a:solidFill>
              <a:schemeClr val="bg2">
                <a:lumMod val="50000"/>
              </a:schemeClr>
            </a:solidFill>
          </a:endParaRPr>
        </a:p>
      </xdr:txBody>
    </xdr:sp>
    <xdr:clientData/>
  </xdr:twoCellAnchor>
  <xdr:twoCellAnchor editAs="oneCell">
    <xdr:from>
      <xdr:col>1</xdr:col>
      <xdr:colOff>107100</xdr:colOff>
      <xdr:row>8</xdr:row>
      <xdr:rowOff>95186</xdr:rowOff>
    </xdr:from>
    <xdr:to>
      <xdr:col>1</xdr:col>
      <xdr:colOff>323000</xdr:colOff>
      <xdr:row>9</xdr:row>
      <xdr:rowOff>126936</xdr:rowOff>
    </xdr:to>
    <xdr:pic>
      <xdr:nvPicPr>
        <xdr:cNvPr id="31" name="Graphic 30" descr="Gauge with solid fill">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6650" y="1568386"/>
          <a:ext cx="215900" cy="215900"/>
        </a:xfrm>
        <a:prstGeom prst="rect">
          <a:avLst/>
        </a:prstGeom>
      </xdr:spPr>
    </xdr:pic>
    <xdr:clientData/>
  </xdr:twoCellAnchor>
  <xdr:twoCellAnchor editAs="oneCell">
    <xdr:from>
      <xdr:col>1</xdr:col>
      <xdr:colOff>81700</xdr:colOff>
      <xdr:row>9</xdr:row>
      <xdr:rowOff>117929</xdr:rowOff>
    </xdr:from>
    <xdr:to>
      <xdr:col>1</xdr:col>
      <xdr:colOff>323000</xdr:colOff>
      <xdr:row>10</xdr:row>
      <xdr:rowOff>175079</xdr:rowOff>
    </xdr:to>
    <xdr:pic>
      <xdr:nvPicPr>
        <xdr:cNvPr id="32" name="Graphic 31" descr="Target Audience with solid fill">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291250" y="1775279"/>
          <a:ext cx="241300" cy="241300"/>
        </a:xfrm>
        <a:prstGeom prst="rect">
          <a:avLst/>
        </a:prstGeom>
      </xdr:spPr>
    </xdr:pic>
    <xdr:clientData/>
  </xdr:twoCellAnchor>
  <xdr:twoCellAnchor editAs="oneCell">
    <xdr:from>
      <xdr:col>1</xdr:col>
      <xdr:colOff>92000</xdr:colOff>
      <xdr:row>12</xdr:row>
      <xdr:rowOff>49115</xdr:rowOff>
    </xdr:from>
    <xdr:to>
      <xdr:col>1</xdr:col>
      <xdr:colOff>323000</xdr:colOff>
      <xdr:row>13</xdr:row>
      <xdr:rowOff>95965</xdr:rowOff>
    </xdr:to>
    <xdr:pic>
      <xdr:nvPicPr>
        <xdr:cNvPr id="33" name="Graphic 32" descr="User with solid fill">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01550" y="2258915"/>
          <a:ext cx="231000" cy="231000"/>
        </a:xfrm>
        <a:prstGeom prst="rect">
          <a:avLst/>
        </a:prstGeom>
      </xdr:spPr>
    </xdr:pic>
    <xdr:clientData/>
  </xdr:twoCellAnchor>
  <xdr:twoCellAnchor editAs="oneCell">
    <xdr:from>
      <xdr:col>1</xdr:col>
      <xdr:colOff>62650</xdr:colOff>
      <xdr:row>10</xdr:row>
      <xdr:rowOff>166072</xdr:rowOff>
    </xdr:from>
    <xdr:to>
      <xdr:col>1</xdr:col>
      <xdr:colOff>323000</xdr:colOff>
      <xdr:row>12</xdr:row>
      <xdr:rowOff>58122</xdr:rowOff>
    </xdr:to>
    <xdr:pic>
      <xdr:nvPicPr>
        <xdr:cNvPr id="34" name="Graphic 33" descr="Balloons with solid fill">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2200" y="2007572"/>
          <a:ext cx="260350" cy="260350"/>
        </a:xfrm>
        <a:prstGeom prst="rect">
          <a:avLst/>
        </a:prstGeom>
      </xdr:spPr>
    </xdr:pic>
    <xdr:clientData/>
  </xdr:twoCellAnchor>
  <xdr:twoCellAnchor editAs="oneCell">
    <xdr:from>
      <xdr:col>1</xdr:col>
      <xdr:colOff>107100</xdr:colOff>
      <xdr:row>14</xdr:row>
      <xdr:rowOff>150201</xdr:rowOff>
    </xdr:from>
    <xdr:to>
      <xdr:col>1</xdr:col>
      <xdr:colOff>323000</xdr:colOff>
      <xdr:row>15</xdr:row>
      <xdr:rowOff>183811</xdr:rowOff>
    </xdr:to>
    <xdr:pic>
      <xdr:nvPicPr>
        <xdr:cNvPr id="35" name="Graphic 34" descr="Checklist with solid fill">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16650" y="2728301"/>
          <a:ext cx="215900" cy="217760"/>
        </a:xfrm>
        <a:prstGeom prst="rect">
          <a:avLst/>
        </a:prstGeom>
      </xdr:spPr>
    </xdr:pic>
    <xdr:clientData/>
  </xdr:twoCellAnchor>
  <xdr:twoCellAnchor editAs="oneCell">
    <xdr:from>
      <xdr:col>1</xdr:col>
      <xdr:colOff>66600</xdr:colOff>
      <xdr:row>13</xdr:row>
      <xdr:rowOff>86958</xdr:rowOff>
    </xdr:from>
    <xdr:to>
      <xdr:col>1</xdr:col>
      <xdr:colOff>323000</xdr:colOff>
      <xdr:row>14</xdr:row>
      <xdr:rowOff>159208</xdr:rowOff>
    </xdr:to>
    <xdr:pic>
      <xdr:nvPicPr>
        <xdr:cNvPr id="36" name="Graphic 35" descr="Cloud Computing with solid fill">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76150" y="2480908"/>
          <a:ext cx="256400" cy="256400"/>
        </a:xfrm>
        <a:prstGeom prst="rect">
          <a:avLst/>
        </a:prstGeom>
      </xdr:spPr>
    </xdr:pic>
    <xdr:clientData/>
  </xdr:twoCellAnchor>
  <xdr:twoCellAnchor editAs="oneCell">
    <xdr:from>
      <xdr:col>1</xdr:col>
      <xdr:colOff>102300</xdr:colOff>
      <xdr:row>17</xdr:row>
      <xdr:rowOff>20600</xdr:rowOff>
    </xdr:from>
    <xdr:to>
      <xdr:col>1</xdr:col>
      <xdr:colOff>323000</xdr:colOff>
      <xdr:row>18</xdr:row>
      <xdr:rowOff>57150</xdr:rowOff>
    </xdr:to>
    <xdr:pic>
      <xdr:nvPicPr>
        <xdr:cNvPr id="37" name="Graphic 36" descr="Database with solid fill">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11850" y="3151150"/>
          <a:ext cx="220700" cy="220700"/>
        </a:xfrm>
        <a:prstGeom prst="rect">
          <a:avLst/>
        </a:prstGeom>
      </xdr:spPr>
    </xdr:pic>
    <xdr:clientData/>
  </xdr:twoCellAnchor>
  <xdr:twoCellAnchor editAs="oneCell">
    <xdr:from>
      <xdr:col>1</xdr:col>
      <xdr:colOff>99900</xdr:colOff>
      <xdr:row>15</xdr:row>
      <xdr:rowOff>174804</xdr:rowOff>
    </xdr:from>
    <xdr:to>
      <xdr:col>1</xdr:col>
      <xdr:colOff>323000</xdr:colOff>
      <xdr:row>17</xdr:row>
      <xdr:rowOff>29604</xdr:rowOff>
    </xdr:to>
    <xdr:pic>
      <xdr:nvPicPr>
        <xdr:cNvPr id="38" name="Graphic 37" descr="List with solid fill">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09450" y="2937054"/>
          <a:ext cx="223100" cy="223100"/>
        </a:xfrm>
        <a:prstGeom prst="rect">
          <a:avLst/>
        </a:prstGeom>
      </xdr:spPr>
    </xdr:pic>
    <xdr:clientData/>
  </xdr:twoCellAnchor>
  <xdr:twoCellAnchor editAs="absolute">
    <xdr:from>
      <xdr:col>3</xdr:col>
      <xdr:colOff>7955</xdr:colOff>
      <xdr:row>1</xdr:row>
      <xdr:rowOff>6607</xdr:rowOff>
    </xdr:from>
    <xdr:to>
      <xdr:col>15</xdr:col>
      <xdr:colOff>412750</xdr:colOff>
      <xdr:row>3</xdr:row>
      <xdr:rowOff>89991</xdr:rowOff>
    </xdr:to>
    <xdr:sp macro="" textlink="">
      <xdr:nvSpPr>
        <xdr:cNvPr id="39" name="Rectangle 38">
          <a:extLst>
            <a:ext uri="{FF2B5EF4-FFF2-40B4-BE49-F238E27FC236}">
              <a16:creationId xmlns:a16="http://schemas.microsoft.com/office/drawing/2014/main" id="{00000000-0008-0000-0100-000027000000}"/>
            </a:ext>
          </a:extLst>
        </xdr:cNvPr>
        <xdr:cNvSpPr/>
      </xdr:nvSpPr>
      <xdr:spPr>
        <a:xfrm>
          <a:off x="2097105" y="190757"/>
          <a:ext cx="8913795" cy="45168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400" b="1">
              <a:solidFill>
                <a:schemeClr val="tx1"/>
              </a:solidFill>
            </a:rPr>
            <a:t>   Customers</a:t>
          </a:r>
          <a:endParaRPr lang="en-PK" sz="24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666750</xdr:colOff>
      <xdr:row>0</xdr:row>
      <xdr:rowOff>171450</xdr:rowOff>
    </xdr:from>
    <xdr:to>
      <xdr:col>1</xdr:col>
      <xdr:colOff>1092200</xdr:colOff>
      <xdr:row>3</xdr:row>
      <xdr:rowOff>31750</xdr:rowOff>
    </xdr:to>
    <xdr:pic>
      <xdr:nvPicPr>
        <xdr:cNvPr id="2" name="Graphic 1" descr="Bar graph with upward trend with solid fill">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76300" y="171450"/>
          <a:ext cx="425450" cy="425450"/>
        </a:xfrm>
        <a:prstGeom prst="rect">
          <a:avLst/>
        </a:prstGeom>
      </xdr:spPr>
    </xdr:pic>
    <xdr:clientData/>
  </xdr:twoCellAnchor>
  <xdr:twoCellAnchor>
    <xdr:from>
      <xdr:col>1</xdr:col>
      <xdr:colOff>6350</xdr:colOff>
      <xdr:row>2</xdr:row>
      <xdr:rowOff>50800</xdr:rowOff>
    </xdr:from>
    <xdr:to>
      <xdr:col>2</xdr:col>
      <xdr:colOff>12700</xdr:colOff>
      <xdr:row>5</xdr:row>
      <xdr:rowOff>107950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15900" y="431800"/>
          <a:ext cx="17526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tx1"/>
              </a:solidFill>
            </a:rPr>
            <a:t>Inventory</a:t>
          </a:r>
          <a:r>
            <a:rPr lang="en-GB" sz="1400" b="1" baseline="0">
              <a:solidFill>
                <a:schemeClr val="tx1"/>
              </a:solidFill>
            </a:rPr>
            <a:t> Management System</a:t>
          </a:r>
          <a:endParaRPr lang="en-PK" sz="1400" b="1">
            <a:solidFill>
              <a:schemeClr val="tx1"/>
            </a:solidFill>
          </a:endParaRPr>
        </a:p>
      </xdr:txBody>
    </xdr:sp>
    <xdr:clientData/>
  </xdr:twoCellAnchor>
  <xdr:twoCellAnchor>
    <xdr:from>
      <xdr:col>1</xdr:col>
      <xdr:colOff>526562</xdr:colOff>
      <xdr:row>8</xdr:row>
      <xdr:rowOff>101600</xdr:rowOff>
    </xdr:from>
    <xdr:to>
      <xdr:col>1</xdr:col>
      <xdr:colOff>1739900</xdr:colOff>
      <xdr:row>9</xdr:row>
      <xdr:rowOff>171450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200-000004000000}"/>
            </a:ext>
          </a:extLst>
        </xdr:cNvPr>
        <xdr:cNvSpPr/>
      </xdr:nvSpPr>
      <xdr:spPr>
        <a:xfrm>
          <a:off x="736112" y="15748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Dashboard</a:t>
          </a:r>
          <a:endParaRPr lang="en-GB" sz="1400" b="0" baseline="0">
            <a:solidFill>
              <a:schemeClr val="bg2">
                <a:lumMod val="50000"/>
              </a:schemeClr>
            </a:solidFill>
          </a:endParaRPr>
        </a:p>
      </xdr:txBody>
    </xdr:sp>
    <xdr:clientData/>
  </xdr:twoCellAnchor>
  <xdr:twoCellAnchor>
    <xdr:from>
      <xdr:col>1</xdr:col>
      <xdr:colOff>526562</xdr:colOff>
      <xdr:row>9</xdr:row>
      <xdr:rowOff>142421</xdr:rowOff>
    </xdr:from>
    <xdr:to>
      <xdr:col>1</xdr:col>
      <xdr:colOff>1739900</xdr:colOff>
      <xdr:row>11</xdr:row>
      <xdr:rowOff>28121</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200-000005000000}"/>
            </a:ext>
          </a:extLst>
        </xdr:cNvPr>
        <xdr:cNvSpPr/>
      </xdr:nvSpPr>
      <xdr:spPr>
        <a:xfrm>
          <a:off x="736112" y="1799771"/>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Customers</a:t>
          </a:r>
        </a:p>
      </xdr:txBody>
    </xdr:sp>
    <xdr:clientData/>
  </xdr:twoCellAnchor>
  <xdr:twoCellAnchor>
    <xdr:from>
      <xdr:col>1</xdr:col>
      <xdr:colOff>526562</xdr:colOff>
      <xdr:row>10</xdr:row>
      <xdr:rowOff>183242</xdr:rowOff>
    </xdr:from>
    <xdr:to>
      <xdr:col>1</xdr:col>
      <xdr:colOff>1739900</xdr:colOff>
      <xdr:row>12</xdr:row>
      <xdr:rowOff>68942</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200-000006000000}"/>
            </a:ext>
          </a:extLst>
        </xdr:cNvPr>
        <xdr:cNvSpPr/>
      </xdr:nvSpPr>
      <xdr:spPr>
        <a:xfrm>
          <a:off x="736112" y="2024742"/>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baseline="0">
              <a:solidFill>
                <a:schemeClr val="tx1"/>
              </a:solidFill>
            </a:rPr>
            <a:t>Products</a:t>
          </a:r>
        </a:p>
      </xdr:txBody>
    </xdr:sp>
    <xdr:clientData/>
  </xdr:twoCellAnchor>
  <xdr:twoCellAnchor>
    <xdr:from>
      <xdr:col>1</xdr:col>
      <xdr:colOff>526562</xdr:colOff>
      <xdr:row>12</xdr:row>
      <xdr:rowOff>39913</xdr:rowOff>
    </xdr:from>
    <xdr:to>
      <xdr:col>1</xdr:col>
      <xdr:colOff>1739900</xdr:colOff>
      <xdr:row>13</xdr:row>
      <xdr:rowOff>109763</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200-000007000000}"/>
            </a:ext>
          </a:extLst>
        </xdr:cNvPr>
        <xdr:cNvSpPr/>
      </xdr:nvSpPr>
      <xdr:spPr>
        <a:xfrm>
          <a:off x="736112" y="2249713"/>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Vendors</a:t>
          </a:r>
          <a:endParaRPr lang="en-GB" sz="1400" b="0" baseline="0">
            <a:solidFill>
              <a:schemeClr val="bg2">
                <a:lumMod val="50000"/>
              </a:schemeClr>
            </a:solidFill>
          </a:endParaRPr>
        </a:p>
      </xdr:txBody>
    </xdr:sp>
    <xdr:clientData/>
  </xdr:twoCellAnchor>
  <xdr:twoCellAnchor>
    <xdr:from>
      <xdr:col>1</xdr:col>
      <xdr:colOff>526562</xdr:colOff>
      <xdr:row>13</xdr:row>
      <xdr:rowOff>80734</xdr:rowOff>
    </xdr:from>
    <xdr:to>
      <xdr:col>1</xdr:col>
      <xdr:colOff>1739900</xdr:colOff>
      <xdr:row>14</xdr:row>
      <xdr:rowOff>150584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200-000008000000}"/>
            </a:ext>
          </a:extLst>
        </xdr:cNvPr>
        <xdr:cNvSpPr/>
      </xdr:nvSpPr>
      <xdr:spPr>
        <a:xfrm>
          <a:off x="736112" y="2474684"/>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New Entry</a:t>
          </a:r>
          <a:endParaRPr lang="en-GB" sz="1400" b="0" baseline="0">
            <a:solidFill>
              <a:schemeClr val="bg2">
                <a:lumMod val="50000"/>
              </a:schemeClr>
            </a:solidFill>
          </a:endParaRPr>
        </a:p>
      </xdr:txBody>
    </xdr:sp>
    <xdr:clientData/>
  </xdr:twoCellAnchor>
  <xdr:twoCellAnchor>
    <xdr:from>
      <xdr:col>1</xdr:col>
      <xdr:colOff>526562</xdr:colOff>
      <xdr:row>14</xdr:row>
      <xdr:rowOff>121555</xdr:rowOff>
    </xdr:from>
    <xdr:to>
      <xdr:col>1</xdr:col>
      <xdr:colOff>1739900</xdr:colOff>
      <xdr:row>16</xdr:row>
      <xdr:rowOff>7255</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200-000009000000}"/>
            </a:ext>
          </a:extLst>
        </xdr:cNvPr>
        <xdr:cNvSpPr/>
      </xdr:nvSpPr>
      <xdr:spPr>
        <a:xfrm>
          <a:off x="736112" y="2699655"/>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Purchase</a:t>
          </a:r>
          <a:endParaRPr lang="en-GB" sz="1400" b="0" baseline="0">
            <a:solidFill>
              <a:schemeClr val="bg2">
                <a:lumMod val="50000"/>
              </a:schemeClr>
            </a:solidFill>
          </a:endParaRPr>
        </a:p>
      </xdr:txBody>
    </xdr:sp>
    <xdr:clientData/>
  </xdr:twoCellAnchor>
  <xdr:twoCellAnchor>
    <xdr:from>
      <xdr:col>1</xdr:col>
      <xdr:colOff>526562</xdr:colOff>
      <xdr:row>15</xdr:row>
      <xdr:rowOff>162376</xdr:rowOff>
    </xdr:from>
    <xdr:to>
      <xdr:col>1</xdr:col>
      <xdr:colOff>1739900</xdr:colOff>
      <xdr:row>17</xdr:row>
      <xdr:rowOff>48076</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200-00000A000000}"/>
            </a:ext>
          </a:extLst>
        </xdr:cNvPr>
        <xdr:cNvSpPr/>
      </xdr:nvSpPr>
      <xdr:spPr>
        <a:xfrm>
          <a:off x="736112" y="2924626"/>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Sales</a:t>
          </a:r>
          <a:endParaRPr lang="en-GB" sz="1400" b="0" baseline="0">
            <a:solidFill>
              <a:schemeClr val="bg2">
                <a:lumMod val="50000"/>
              </a:schemeClr>
            </a:solidFill>
          </a:endParaRPr>
        </a:p>
      </xdr:txBody>
    </xdr:sp>
    <xdr:clientData/>
  </xdr:twoCellAnchor>
  <xdr:twoCellAnchor>
    <xdr:from>
      <xdr:col>1</xdr:col>
      <xdr:colOff>526562</xdr:colOff>
      <xdr:row>17</xdr:row>
      <xdr:rowOff>19050</xdr:rowOff>
    </xdr:from>
    <xdr:to>
      <xdr:col>1</xdr:col>
      <xdr:colOff>1739900</xdr:colOff>
      <xdr:row>18</xdr:row>
      <xdr:rowOff>88900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00000000-0008-0000-0200-00000B000000}"/>
            </a:ext>
          </a:extLst>
        </xdr:cNvPr>
        <xdr:cNvSpPr/>
      </xdr:nvSpPr>
      <xdr:spPr>
        <a:xfrm>
          <a:off x="736112" y="31496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Inventory</a:t>
          </a:r>
          <a:endParaRPr lang="en-GB" sz="1400" b="0" baseline="0">
            <a:solidFill>
              <a:schemeClr val="bg2">
                <a:lumMod val="50000"/>
              </a:schemeClr>
            </a:solidFill>
          </a:endParaRPr>
        </a:p>
      </xdr:txBody>
    </xdr:sp>
    <xdr:clientData/>
  </xdr:twoCellAnchor>
  <xdr:twoCellAnchor editAs="oneCell">
    <xdr:from>
      <xdr:col>1</xdr:col>
      <xdr:colOff>107100</xdr:colOff>
      <xdr:row>8</xdr:row>
      <xdr:rowOff>95186</xdr:rowOff>
    </xdr:from>
    <xdr:to>
      <xdr:col>1</xdr:col>
      <xdr:colOff>323000</xdr:colOff>
      <xdr:row>9</xdr:row>
      <xdr:rowOff>126936</xdr:rowOff>
    </xdr:to>
    <xdr:pic>
      <xdr:nvPicPr>
        <xdr:cNvPr id="12" name="Graphic 11" descr="Gauge with solid fill">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6650" y="1568386"/>
          <a:ext cx="215900" cy="215900"/>
        </a:xfrm>
        <a:prstGeom prst="rect">
          <a:avLst/>
        </a:prstGeom>
      </xdr:spPr>
    </xdr:pic>
    <xdr:clientData/>
  </xdr:twoCellAnchor>
  <xdr:twoCellAnchor editAs="oneCell">
    <xdr:from>
      <xdr:col>1</xdr:col>
      <xdr:colOff>81700</xdr:colOff>
      <xdr:row>9</xdr:row>
      <xdr:rowOff>117929</xdr:rowOff>
    </xdr:from>
    <xdr:to>
      <xdr:col>1</xdr:col>
      <xdr:colOff>323000</xdr:colOff>
      <xdr:row>10</xdr:row>
      <xdr:rowOff>175079</xdr:rowOff>
    </xdr:to>
    <xdr:pic>
      <xdr:nvPicPr>
        <xdr:cNvPr id="13" name="Graphic 12" descr="Target Audience with solid fill">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1250" y="1775279"/>
          <a:ext cx="241300" cy="241300"/>
        </a:xfrm>
        <a:prstGeom prst="rect">
          <a:avLst/>
        </a:prstGeom>
      </xdr:spPr>
    </xdr:pic>
    <xdr:clientData/>
  </xdr:twoCellAnchor>
  <xdr:twoCellAnchor editAs="oneCell">
    <xdr:from>
      <xdr:col>1</xdr:col>
      <xdr:colOff>92000</xdr:colOff>
      <xdr:row>12</xdr:row>
      <xdr:rowOff>49115</xdr:rowOff>
    </xdr:from>
    <xdr:to>
      <xdr:col>1</xdr:col>
      <xdr:colOff>323000</xdr:colOff>
      <xdr:row>13</xdr:row>
      <xdr:rowOff>95965</xdr:rowOff>
    </xdr:to>
    <xdr:pic>
      <xdr:nvPicPr>
        <xdr:cNvPr id="14" name="Graphic 13" descr="User with solid fill">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01550" y="2258915"/>
          <a:ext cx="231000" cy="231000"/>
        </a:xfrm>
        <a:prstGeom prst="rect">
          <a:avLst/>
        </a:prstGeom>
      </xdr:spPr>
    </xdr:pic>
    <xdr:clientData/>
  </xdr:twoCellAnchor>
  <xdr:twoCellAnchor editAs="oneCell">
    <xdr:from>
      <xdr:col>1</xdr:col>
      <xdr:colOff>62650</xdr:colOff>
      <xdr:row>10</xdr:row>
      <xdr:rowOff>166072</xdr:rowOff>
    </xdr:from>
    <xdr:to>
      <xdr:col>1</xdr:col>
      <xdr:colOff>323000</xdr:colOff>
      <xdr:row>12</xdr:row>
      <xdr:rowOff>58122</xdr:rowOff>
    </xdr:to>
    <xdr:pic>
      <xdr:nvPicPr>
        <xdr:cNvPr id="15" name="Graphic 14" descr="Balloons with solid fill">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2200" y="2007572"/>
          <a:ext cx="260350" cy="260350"/>
        </a:xfrm>
        <a:prstGeom prst="rect">
          <a:avLst/>
        </a:prstGeom>
      </xdr:spPr>
    </xdr:pic>
    <xdr:clientData/>
  </xdr:twoCellAnchor>
  <xdr:twoCellAnchor editAs="oneCell">
    <xdr:from>
      <xdr:col>1</xdr:col>
      <xdr:colOff>107100</xdr:colOff>
      <xdr:row>14</xdr:row>
      <xdr:rowOff>150201</xdr:rowOff>
    </xdr:from>
    <xdr:to>
      <xdr:col>1</xdr:col>
      <xdr:colOff>323000</xdr:colOff>
      <xdr:row>15</xdr:row>
      <xdr:rowOff>183811</xdr:rowOff>
    </xdr:to>
    <xdr:pic>
      <xdr:nvPicPr>
        <xdr:cNvPr id="16" name="Graphic 15" descr="Checklist with solid fill">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16650" y="2728301"/>
          <a:ext cx="215900" cy="217760"/>
        </a:xfrm>
        <a:prstGeom prst="rect">
          <a:avLst/>
        </a:prstGeom>
      </xdr:spPr>
    </xdr:pic>
    <xdr:clientData/>
  </xdr:twoCellAnchor>
  <xdr:twoCellAnchor editAs="oneCell">
    <xdr:from>
      <xdr:col>1</xdr:col>
      <xdr:colOff>66600</xdr:colOff>
      <xdr:row>13</xdr:row>
      <xdr:rowOff>86958</xdr:rowOff>
    </xdr:from>
    <xdr:to>
      <xdr:col>1</xdr:col>
      <xdr:colOff>323000</xdr:colOff>
      <xdr:row>14</xdr:row>
      <xdr:rowOff>159208</xdr:rowOff>
    </xdr:to>
    <xdr:pic>
      <xdr:nvPicPr>
        <xdr:cNvPr id="17" name="Graphic 16" descr="Cloud Computing with solid fill">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76150" y="2480908"/>
          <a:ext cx="256400" cy="256400"/>
        </a:xfrm>
        <a:prstGeom prst="rect">
          <a:avLst/>
        </a:prstGeom>
      </xdr:spPr>
    </xdr:pic>
    <xdr:clientData/>
  </xdr:twoCellAnchor>
  <xdr:twoCellAnchor editAs="oneCell">
    <xdr:from>
      <xdr:col>1</xdr:col>
      <xdr:colOff>102300</xdr:colOff>
      <xdr:row>17</xdr:row>
      <xdr:rowOff>20600</xdr:rowOff>
    </xdr:from>
    <xdr:to>
      <xdr:col>1</xdr:col>
      <xdr:colOff>323000</xdr:colOff>
      <xdr:row>18</xdr:row>
      <xdr:rowOff>57150</xdr:rowOff>
    </xdr:to>
    <xdr:pic>
      <xdr:nvPicPr>
        <xdr:cNvPr id="18" name="Graphic 17" descr="Database with solid fill">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11850" y="3151150"/>
          <a:ext cx="220700" cy="220700"/>
        </a:xfrm>
        <a:prstGeom prst="rect">
          <a:avLst/>
        </a:prstGeom>
      </xdr:spPr>
    </xdr:pic>
    <xdr:clientData/>
  </xdr:twoCellAnchor>
  <xdr:twoCellAnchor editAs="oneCell">
    <xdr:from>
      <xdr:col>1</xdr:col>
      <xdr:colOff>99900</xdr:colOff>
      <xdr:row>15</xdr:row>
      <xdr:rowOff>174804</xdr:rowOff>
    </xdr:from>
    <xdr:to>
      <xdr:col>1</xdr:col>
      <xdr:colOff>323000</xdr:colOff>
      <xdr:row>17</xdr:row>
      <xdr:rowOff>29604</xdr:rowOff>
    </xdr:to>
    <xdr:pic>
      <xdr:nvPicPr>
        <xdr:cNvPr id="19" name="Graphic 18" descr="List with solid fill">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09450" y="2937054"/>
          <a:ext cx="223100" cy="223100"/>
        </a:xfrm>
        <a:prstGeom prst="rect">
          <a:avLst/>
        </a:prstGeom>
      </xdr:spPr>
    </xdr:pic>
    <xdr:clientData/>
  </xdr:twoCellAnchor>
  <xdr:twoCellAnchor editAs="absolute">
    <xdr:from>
      <xdr:col>3</xdr:col>
      <xdr:colOff>1604</xdr:colOff>
      <xdr:row>1</xdr:row>
      <xdr:rowOff>12957</xdr:rowOff>
    </xdr:from>
    <xdr:to>
      <xdr:col>16</xdr:col>
      <xdr:colOff>229049</xdr:colOff>
      <xdr:row>3</xdr:row>
      <xdr:rowOff>96341</xdr:rowOff>
    </xdr:to>
    <xdr:sp macro="" textlink="">
      <xdr:nvSpPr>
        <xdr:cNvPr id="20" name="Rectangle 19">
          <a:extLst>
            <a:ext uri="{FF2B5EF4-FFF2-40B4-BE49-F238E27FC236}">
              <a16:creationId xmlns:a16="http://schemas.microsoft.com/office/drawing/2014/main" id="{00000000-0008-0000-0200-000014000000}"/>
            </a:ext>
          </a:extLst>
        </xdr:cNvPr>
        <xdr:cNvSpPr/>
      </xdr:nvSpPr>
      <xdr:spPr>
        <a:xfrm>
          <a:off x="2116154" y="209807"/>
          <a:ext cx="9028545" cy="45168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400" b="1">
              <a:solidFill>
                <a:schemeClr val="tx1"/>
              </a:solidFill>
            </a:rPr>
            <a:t>   Products</a:t>
          </a:r>
          <a:endParaRPr lang="en-PK" sz="24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679450</xdr:colOff>
      <xdr:row>0</xdr:row>
      <xdr:rowOff>146050</xdr:rowOff>
    </xdr:from>
    <xdr:to>
      <xdr:col>1</xdr:col>
      <xdr:colOff>1136650</xdr:colOff>
      <xdr:row>3</xdr:row>
      <xdr:rowOff>50800</xdr:rowOff>
    </xdr:to>
    <xdr:pic>
      <xdr:nvPicPr>
        <xdr:cNvPr id="2" name="Graphic 1" descr="Bar graph with upward trend with solid fill">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89000" y="146050"/>
          <a:ext cx="457200" cy="457200"/>
        </a:xfrm>
        <a:prstGeom prst="rect">
          <a:avLst/>
        </a:prstGeom>
      </xdr:spPr>
    </xdr:pic>
    <xdr:clientData/>
  </xdr:twoCellAnchor>
  <xdr:twoCellAnchor>
    <xdr:from>
      <xdr:col>1</xdr:col>
      <xdr:colOff>50800</xdr:colOff>
      <xdr:row>2</xdr:row>
      <xdr:rowOff>50800</xdr:rowOff>
    </xdr:from>
    <xdr:to>
      <xdr:col>2</xdr:col>
      <xdr:colOff>57150</xdr:colOff>
      <xdr:row>5</xdr:row>
      <xdr:rowOff>107950</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60350" y="419100"/>
          <a:ext cx="17526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tx1"/>
              </a:solidFill>
            </a:rPr>
            <a:t>Inventory</a:t>
          </a:r>
          <a:r>
            <a:rPr lang="en-GB" sz="1400" b="1" baseline="0">
              <a:solidFill>
                <a:schemeClr val="tx1"/>
              </a:solidFill>
            </a:rPr>
            <a:t> Management System</a:t>
          </a:r>
          <a:endParaRPr lang="en-PK" sz="1400" b="1">
            <a:solidFill>
              <a:schemeClr val="tx1"/>
            </a:solidFill>
          </a:endParaRPr>
        </a:p>
      </xdr:txBody>
    </xdr:sp>
    <xdr:clientData/>
  </xdr:twoCellAnchor>
  <xdr:twoCellAnchor>
    <xdr:from>
      <xdr:col>1</xdr:col>
      <xdr:colOff>526562</xdr:colOff>
      <xdr:row>8</xdr:row>
      <xdr:rowOff>101600</xdr:rowOff>
    </xdr:from>
    <xdr:to>
      <xdr:col>1</xdr:col>
      <xdr:colOff>1739900</xdr:colOff>
      <xdr:row>9</xdr:row>
      <xdr:rowOff>171450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300-000004000000}"/>
            </a:ext>
          </a:extLst>
        </xdr:cNvPr>
        <xdr:cNvSpPr/>
      </xdr:nvSpPr>
      <xdr:spPr>
        <a:xfrm>
          <a:off x="736112" y="15748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Dashboard</a:t>
          </a:r>
          <a:endParaRPr lang="en-GB" sz="1400" b="0" baseline="0">
            <a:solidFill>
              <a:schemeClr val="bg2">
                <a:lumMod val="50000"/>
              </a:schemeClr>
            </a:solidFill>
          </a:endParaRPr>
        </a:p>
      </xdr:txBody>
    </xdr:sp>
    <xdr:clientData/>
  </xdr:twoCellAnchor>
  <xdr:twoCellAnchor>
    <xdr:from>
      <xdr:col>1</xdr:col>
      <xdr:colOff>526562</xdr:colOff>
      <xdr:row>9</xdr:row>
      <xdr:rowOff>142421</xdr:rowOff>
    </xdr:from>
    <xdr:to>
      <xdr:col>1</xdr:col>
      <xdr:colOff>1739900</xdr:colOff>
      <xdr:row>11</xdr:row>
      <xdr:rowOff>28121</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300-000005000000}"/>
            </a:ext>
          </a:extLst>
        </xdr:cNvPr>
        <xdr:cNvSpPr/>
      </xdr:nvSpPr>
      <xdr:spPr>
        <a:xfrm>
          <a:off x="736112" y="1799771"/>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Customers</a:t>
          </a:r>
        </a:p>
      </xdr:txBody>
    </xdr:sp>
    <xdr:clientData/>
  </xdr:twoCellAnchor>
  <xdr:twoCellAnchor>
    <xdr:from>
      <xdr:col>1</xdr:col>
      <xdr:colOff>526562</xdr:colOff>
      <xdr:row>10</xdr:row>
      <xdr:rowOff>183242</xdr:rowOff>
    </xdr:from>
    <xdr:to>
      <xdr:col>1</xdr:col>
      <xdr:colOff>1739900</xdr:colOff>
      <xdr:row>12</xdr:row>
      <xdr:rowOff>68942</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300-000006000000}"/>
            </a:ext>
          </a:extLst>
        </xdr:cNvPr>
        <xdr:cNvSpPr/>
      </xdr:nvSpPr>
      <xdr:spPr>
        <a:xfrm>
          <a:off x="736112" y="2024742"/>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Products</a:t>
          </a:r>
        </a:p>
      </xdr:txBody>
    </xdr:sp>
    <xdr:clientData/>
  </xdr:twoCellAnchor>
  <xdr:twoCellAnchor>
    <xdr:from>
      <xdr:col>1</xdr:col>
      <xdr:colOff>526562</xdr:colOff>
      <xdr:row>12</xdr:row>
      <xdr:rowOff>39913</xdr:rowOff>
    </xdr:from>
    <xdr:to>
      <xdr:col>1</xdr:col>
      <xdr:colOff>1739900</xdr:colOff>
      <xdr:row>13</xdr:row>
      <xdr:rowOff>109763</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300-000007000000}"/>
            </a:ext>
          </a:extLst>
        </xdr:cNvPr>
        <xdr:cNvSpPr/>
      </xdr:nvSpPr>
      <xdr:spPr>
        <a:xfrm>
          <a:off x="736112" y="2249713"/>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baseline="0">
              <a:solidFill>
                <a:schemeClr val="tx1"/>
              </a:solidFill>
            </a:rPr>
            <a:t>Vendors</a:t>
          </a:r>
          <a:endParaRPr lang="en-GB" sz="1400" b="1" baseline="0">
            <a:solidFill>
              <a:schemeClr val="tx1"/>
            </a:solidFill>
          </a:endParaRPr>
        </a:p>
      </xdr:txBody>
    </xdr:sp>
    <xdr:clientData/>
  </xdr:twoCellAnchor>
  <xdr:twoCellAnchor>
    <xdr:from>
      <xdr:col>1</xdr:col>
      <xdr:colOff>526562</xdr:colOff>
      <xdr:row>13</xdr:row>
      <xdr:rowOff>80734</xdr:rowOff>
    </xdr:from>
    <xdr:to>
      <xdr:col>1</xdr:col>
      <xdr:colOff>1739900</xdr:colOff>
      <xdr:row>14</xdr:row>
      <xdr:rowOff>150584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300-000008000000}"/>
            </a:ext>
          </a:extLst>
        </xdr:cNvPr>
        <xdr:cNvSpPr/>
      </xdr:nvSpPr>
      <xdr:spPr>
        <a:xfrm>
          <a:off x="736112" y="2474684"/>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New Entry</a:t>
          </a:r>
          <a:endParaRPr lang="en-GB" sz="1400" b="0" baseline="0">
            <a:solidFill>
              <a:schemeClr val="bg2">
                <a:lumMod val="50000"/>
              </a:schemeClr>
            </a:solidFill>
          </a:endParaRPr>
        </a:p>
      </xdr:txBody>
    </xdr:sp>
    <xdr:clientData/>
  </xdr:twoCellAnchor>
  <xdr:twoCellAnchor>
    <xdr:from>
      <xdr:col>1</xdr:col>
      <xdr:colOff>526562</xdr:colOff>
      <xdr:row>14</xdr:row>
      <xdr:rowOff>121555</xdr:rowOff>
    </xdr:from>
    <xdr:to>
      <xdr:col>1</xdr:col>
      <xdr:colOff>1739900</xdr:colOff>
      <xdr:row>16</xdr:row>
      <xdr:rowOff>7255</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300-000009000000}"/>
            </a:ext>
          </a:extLst>
        </xdr:cNvPr>
        <xdr:cNvSpPr/>
      </xdr:nvSpPr>
      <xdr:spPr>
        <a:xfrm>
          <a:off x="736112" y="2699655"/>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Purchase</a:t>
          </a:r>
          <a:endParaRPr lang="en-GB" sz="1400" b="0" baseline="0">
            <a:solidFill>
              <a:schemeClr val="bg2">
                <a:lumMod val="50000"/>
              </a:schemeClr>
            </a:solidFill>
          </a:endParaRPr>
        </a:p>
      </xdr:txBody>
    </xdr:sp>
    <xdr:clientData/>
  </xdr:twoCellAnchor>
  <xdr:twoCellAnchor>
    <xdr:from>
      <xdr:col>1</xdr:col>
      <xdr:colOff>526562</xdr:colOff>
      <xdr:row>15</xdr:row>
      <xdr:rowOff>162376</xdr:rowOff>
    </xdr:from>
    <xdr:to>
      <xdr:col>1</xdr:col>
      <xdr:colOff>1739900</xdr:colOff>
      <xdr:row>17</xdr:row>
      <xdr:rowOff>48076</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300-00000A000000}"/>
            </a:ext>
          </a:extLst>
        </xdr:cNvPr>
        <xdr:cNvSpPr/>
      </xdr:nvSpPr>
      <xdr:spPr>
        <a:xfrm>
          <a:off x="736112" y="2924626"/>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Sales</a:t>
          </a:r>
          <a:endParaRPr lang="en-GB" sz="1400" b="0" baseline="0">
            <a:solidFill>
              <a:schemeClr val="bg2">
                <a:lumMod val="50000"/>
              </a:schemeClr>
            </a:solidFill>
          </a:endParaRPr>
        </a:p>
      </xdr:txBody>
    </xdr:sp>
    <xdr:clientData/>
  </xdr:twoCellAnchor>
  <xdr:twoCellAnchor>
    <xdr:from>
      <xdr:col>1</xdr:col>
      <xdr:colOff>526562</xdr:colOff>
      <xdr:row>17</xdr:row>
      <xdr:rowOff>19050</xdr:rowOff>
    </xdr:from>
    <xdr:to>
      <xdr:col>1</xdr:col>
      <xdr:colOff>1739900</xdr:colOff>
      <xdr:row>18</xdr:row>
      <xdr:rowOff>88900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00000000-0008-0000-0300-00000B000000}"/>
            </a:ext>
          </a:extLst>
        </xdr:cNvPr>
        <xdr:cNvSpPr/>
      </xdr:nvSpPr>
      <xdr:spPr>
        <a:xfrm>
          <a:off x="736112" y="31496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Inventory</a:t>
          </a:r>
          <a:endParaRPr lang="en-GB" sz="1400" b="0" baseline="0">
            <a:solidFill>
              <a:schemeClr val="bg2">
                <a:lumMod val="50000"/>
              </a:schemeClr>
            </a:solidFill>
          </a:endParaRPr>
        </a:p>
      </xdr:txBody>
    </xdr:sp>
    <xdr:clientData/>
  </xdr:twoCellAnchor>
  <xdr:twoCellAnchor editAs="oneCell">
    <xdr:from>
      <xdr:col>1</xdr:col>
      <xdr:colOff>107100</xdr:colOff>
      <xdr:row>8</xdr:row>
      <xdr:rowOff>95186</xdr:rowOff>
    </xdr:from>
    <xdr:to>
      <xdr:col>1</xdr:col>
      <xdr:colOff>323000</xdr:colOff>
      <xdr:row>9</xdr:row>
      <xdr:rowOff>126936</xdr:rowOff>
    </xdr:to>
    <xdr:pic>
      <xdr:nvPicPr>
        <xdr:cNvPr id="12" name="Graphic 11" descr="Gauge with solid fill">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6650" y="1568386"/>
          <a:ext cx="215900" cy="215900"/>
        </a:xfrm>
        <a:prstGeom prst="rect">
          <a:avLst/>
        </a:prstGeom>
      </xdr:spPr>
    </xdr:pic>
    <xdr:clientData/>
  </xdr:twoCellAnchor>
  <xdr:twoCellAnchor editAs="oneCell">
    <xdr:from>
      <xdr:col>1</xdr:col>
      <xdr:colOff>81700</xdr:colOff>
      <xdr:row>9</xdr:row>
      <xdr:rowOff>117929</xdr:rowOff>
    </xdr:from>
    <xdr:to>
      <xdr:col>1</xdr:col>
      <xdr:colOff>323000</xdr:colOff>
      <xdr:row>10</xdr:row>
      <xdr:rowOff>175079</xdr:rowOff>
    </xdr:to>
    <xdr:pic>
      <xdr:nvPicPr>
        <xdr:cNvPr id="13" name="Graphic 12" descr="Target Audience with solid fill">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1250" y="1775279"/>
          <a:ext cx="241300" cy="241300"/>
        </a:xfrm>
        <a:prstGeom prst="rect">
          <a:avLst/>
        </a:prstGeom>
      </xdr:spPr>
    </xdr:pic>
    <xdr:clientData/>
  </xdr:twoCellAnchor>
  <xdr:twoCellAnchor editAs="oneCell">
    <xdr:from>
      <xdr:col>1</xdr:col>
      <xdr:colOff>92000</xdr:colOff>
      <xdr:row>12</xdr:row>
      <xdr:rowOff>49115</xdr:rowOff>
    </xdr:from>
    <xdr:to>
      <xdr:col>1</xdr:col>
      <xdr:colOff>323000</xdr:colOff>
      <xdr:row>13</xdr:row>
      <xdr:rowOff>95965</xdr:rowOff>
    </xdr:to>
    <xdr:pic>
      <xdr:nvPicPr>
        <xdr:cNvPr id="14" name="Graphic 13" descr="User with solid fill">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01550" y="2258915"/>
          <a:ext cx="231000" cy="231000"/>
        </a:xfrm>
        <a:prstGeom prst="rect">
          <a:avLst/>
        </a:prstGeom>
      </xdr:spPr>
    </xdr:pic>
    <xdr:clientData/>
  </xdr:twoCellAnchor>
  <xdr:twoCellAnchor editAs="oneCell">
    <xdr:from>
      <xdr:col>1</xdr:col>
      <xdr:colOff>62650</xdr:colOff>
      <xdr:row>10</xdr:row>
      <xdr:rowOff>166072</xdr:rowOff>
    </xdr:from>
    <xdr:to>
      <xdr:col>1</xdr:col>
      <xdr:colOff>323000</xdr:colOff>
      <xdr:row>12</xdr:row>
      <xdr:rowOff>58122</xdr:rowOff>
    </xdr:to>
    <xdr:pic>
      <xdr:nvPicPr>
        <xdr:cNvPr id="15" name="Graphic 14" descr="Balloons with solid fill">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2200" y="2007572"/>
          <a:ext cx="260350" cy="260350"/>
        </a:xfrm>
        <a:prstGeom prst="rect">
          <a:avLst/>
        </a:prstGeom>
      </xdr:spPr>
    </xdr:pic>
    <xdr:clientData/>
  </xdr:twoCellAnchor>
  <xdr:twoCellAnchor editAs="oneCell">
    <xdr:from>
      <xdr:col>1</xdr:col>
      <xdr:colOff>107100</xdr:colOff>
      <xdr:row>14</xdr:row>
      <xdr:rowOff>150201</xdr:rowOff>
    </xdr:from>
    <xdr:to>
      <xdr:col>1</xdr:col>
      <xdr:colOff>323000</xdr:colOff>
      <xdr:row>15</xdr:row>
      <xdr:rowOff>183811</xdr:rowOff>
    </xdr:to>
    <xdr:pic>
      <xdr:nvPicPr>
        <xdr:cNvPr id="16" name="Graphic 15" descr="Checklist with solid fill">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16650" y="2728301"/>
          <a:ext cx="215900" cy="217760"/>
        </a:xfrm>
        <a:prstGeom prst="rect">
          <a:avLst/>
        </a:prstGeom>
      </xdr:spPr>
    </xdr:pic>
    <xdr:clientData/>
  </xdr:twoCellAnchor>
  <xdr:twoCellAnchor editAs="oneCell">
    <xdr:from>
      <xdr:col>1</xdr:col>
      <xdr:colOff>66600</xdr:colOff>
      <xdr:row>13</xdr:row>
      <xdr:rowOff>86958</xdr:rowOff>
    </xdr:from>
    <xdr:to>
      <xdr:col>1</xdr:col>
      <xdr:colOff>323000</xdr:colOff>
      <xdr:row>14</xdr:row>
      <xdr:rowOff>159208</xdr:rowOff>
    </xdr:to>
    <xdr:pic>
      <xdr:nvPicPr>
        <xdr:cNvPr id="17" name="Graphic 16" descr="Cloud Computing with solid fill">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76150" y="2480908"/>
          <a:ext cx="256400" cy="256400"/>
        </a:xfrm>
        <a:prstGeom prst="rect">
          <a:avLst/>
        </a:prstGeom>
      </xdr:spPr>
    </xdr:pic>
    <xdr:clientData/>
  </xdr:twoCellAnchor>
  <xdr:twoCellAnchor editAs="oneCell">
    <xdr:from>
      <xdr:col>1</xdr:col>
      <xdr:colOff>102300</xdr:colOff>
      <xdr:row>17</xdr:row>
      <xdr:rowOff>20600</xdr:rowOff>
    </xdr:from>
    <xdr:to>
      <xdr:col>1</xdr:col>
      <xdr:colOff>323000</xdr:colOff>
      <xdr:row>18</xdr:row>
      <xdr:rowOff>57150</xdr:rowOff>
    </xdr:to>
    <xdr:pic>
      <xdr:nvPicPr>
        <xdr:cNvPr id="18" name="Graphic 17" descr="Database with solid fill">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11850" y="3151150"/>
          <a:ext cx="220700" cy="220700"/>
        </a:xfrm>
        <a:prstGeom prst="rect">
          <a:avLst/>
        </a:prstGeom>
      </xdr:spPr>
    </xdr:pic>
    <xdr:clientData/>
  </xdr:twoCellAnchor>
  <xdr:twoCellAnchor editAs="oneCell">
    <xdr:from>
      <xdr:col>1</xdr:col>
      <xdr:colOff>99900</xdr:colOff>
      <xdr:row>15</xdr:row>
      <xdr:rowOff>174804</xdr:rowOff>
    </xdr:from>
    <xdr:to>
      <xdr:col>1</xdr:col>
      <xdr:colOff>323000</xdr:colOff>
      <xdr:row>17</xdr:row>
      <xdr:rowOff>29604</xdr:rowOff>
    </xdr:to>
    <xdr:pic>
      <xdr:nvPicPr>
        <xdr:cNvPr id="19" name="Graphic 18" descr="List with solid fill">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09450" y="2937054"/>
          <a:ext cx="223100" cy="223100"/>
        </a:xfrm>
        <a:prstGeom prst="rect">
          <a:avLst/>
        </a:prstGeom>
      </xdr:spPr>
    </xdr:pic>
    <xdr:clientData/>
  </xdr:twoCellAnchor>
  <xdr:twoCellAnchor editAs="absolute">
    <xdr:from>
      <xdr:col>3</xdr:col>
      <xdr:colOff>1604</xdr:colOff>
      <xdr:row>1</xdr:row>
      <xdr:rowOff>25657</xdr:rowOff>
    </xdr:from>
    <xdr:to>
      <xdr:col>14</xdr:col>
      <xdr:colOff>279849</xdr:colOff>
      <xdr:row>3</xdr:row>
      <xdr:rowOff>109041</xdr:rowOff>
    </xdr:to>
    <xdr:sp macro="" textlink="">
      <xdr:nvSpPr>
        <xdr:cNvPr id="20" name="Rectangle 19">
          <a:extLst>
            <a:ext uri="{FF2B5EF4-FFF2-40B4-BE49-F238E27FC236}">
              <a16:creationId xmlns:a16="http://schemas.microsoft.com/office/drawing/2014/main" id="{00000000-0008-0000-0300-000014000000}"/>
            </a:ext>
          </a:extLst>
        </xdr:cNvPr>
        <xdr:cNvSpPr/>
      </xdr:nvSpPr>
      <xdr:spPr>
        <a:xfrm>
          <a:off x="2116154" y="209807"/>
          <a:ext cx="9028545" cy="45168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400" b="1">
              <a:solidFill>
                <a:schemeClr val="tx1"/>
              </a:solidFill>
            </a:rPr>
            <a:t>   Vendors</a:t>
          </a:r>
          <a:endParaRPr lang="en-PK" sz="24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635000</xdr:colOff>
      <xdr:row>1</xdr:row>
      <xdr:rowOff>177800</xdr:rowOff>
    </xdr:from>
    <xdr:to>
      <xdr:col>1</xdr:col>
      <xdr:colOff>1123950</xdr:colOff>
      <xdr:row>4</xdr:row>
      <xdr:rowOff>114300</xdr:rowOff>
    </xdr:to>
    <xdr:pic>
      <xdr:nvPicPr>
        <xdr:cNvPr id="2" name="Graphic 1" descr="Bar graph with upward trend with solid fill">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4550" y="361950"/>
          <a:ext cx="488950" cy="488950"/>
        </a:xfrm>
        <a:prstGeom prst="rect">
          <a:avLst/>
        </a:prstGeom>
      </xdr:spPr>
    </xdr:pic>
    <xdr:clientData/>
  </xdr:twoCellAnchor>
  <xdr:twoCellAnchor>
    <xdr:from>
      <xdr:col>1</xdr:col>
      <xdr:colOff>0</xdr:colOff>
      <xdr:row>3</xdr:row>
      <xdr:rowOff>171450</xdr:rowOff>
    </xdr:from>
    <xdr:to>
      <xdr:col>2</xdr:col>
      <xdr:colOff>6350</xdr:colOff>
      <xdr:row>7</xdr:row>
      <xdr:rowOff>44450</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209550" y="723900"/>
          <a:ext cx="17526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tx1"/>
              </a:solidFill>
            </a:rPr>
            <a:t>Inventory</a:t>
          </a:r>
          <a:r>
            <a:rPr lang="en-GB" sz="1400" b="1" baseline="0">
              <a:solidFill>
                <a:schemeClr val="tx1"/>
              </a:solidFill>
            </a:rPr>
            <a:t> Management System</a:t>
          </a:r>
          <a:endParaRPr lang="en-PK" sz="1400" b="1">
            <a:solidFill>
              <a:schemeClr val="tx1"/>
            </a:solidFill>
          </a:endParaRPr>
        </a:p>
      </xdr:txBody>
    </xdr:sp>
    <xdr:clientData/>
  </xdr:twoCellAnchor>
  <xdr:twoCellAnchor>
    <xdr:from>
      <xdr:col>1</xdr:col>
      <xdr:colOff>482112</xdr:colOff>
      <xdr:row>8</xdr:row>
      <xdr:rowOff>152400</xdr:rowOff>
    </xdr:from>
    <xdr:to>
      <xdr:col>1</xdr:col>
      <xdr:colOff>1695450</xdr:colOff>
      <xdr:row>10</xdr:row>
      <xdr:rowOff>38100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400-000004000000}"/>
            </a:ext>
          </a:extLst>
        </xdr:cNvPr>
        <xdr:cNvSpPr/>
      </xdr:nvSpPr>
      <xdr:spPr>
        <a:xfrm>
          <a:off x="691662" y="18034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Dashboard</a:t>
          </a:r>
          <a:endParaRPr lang="en-GB" sz="1400" b="0" baseline="0">
            <a:solidFill>
              <a:schemeClr val="bg2">
                <a:lumMod val="50000"/>
              </a:schemeClr>
            </a:solidFill>
          </a:endParaRPr>
        </a:p>
      </xdr:txBody>
    </xdr:sp>
    <xdr:clientData/>
  </xdr:twoCellAnchor>
  <xdr:twoCellAnchor>
    <xdr:from>
      <xdr:col>1</xdr:col>
      <xdr:colOff>488462</xdr:colOff>
      <xdr:row>9</xdr:row>
      <xdr:rowOff>155121</xdr:rowOff>
    </xdr:from>
    <xdr:to>
      <xdr:col>1</xdr:col>
      <xdr:colOff>1701800</xdr:colOff>
      <xdr:row>11</xdr:row>
      <xdr:rowOff>40821</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400-000005000000}"/>
            </a:ext>
          </a:extLst>
        </xdr:cNvPr>
        <xdr:cNvSpPr/>
      </xdr:nvSpPr>
      <xdr:spPr>
        <a:xfrm>
          <a:off x="698012" y="1990271"/>
          <a:ext cx="1213338"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Customers</a:t>
          </a:r>
        </a:p>
      </xdr:txBody>
    </xdr:sp>
    <xdr:clientData/>
  </xdr:twoCellAnchor>
  <xdr:twoCellAnchor>
    <xdr:from>
      <xdr:col>1</xdr:col>
      <xdr:colOff>507512</xdr:colOff>
      <xdr:row>10</xdr:row>
      <xdr:rowOff>297542</xdr:rowOff>
    </xdr:from>
    <xdr:to>
      <xdr:col>1</xdr:col>
      <xdr:colOff>1720850</xdr:colOff>
      <xdr:row>12</xdr:row>
      <xdr:rowOff>76200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400-000006000000}"/>
            </a:ext>
          </a:extLst>
        </xdr:cNvPr>
        <xdr:cNvSpPr/>
      </xdr:nvSpPr>
      <xdr:spPr>
        <a:xfrm>
          <a:off x="717062" y="2316842"/>
          <a:ext cx="1213338" cy="3311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Products</a:t>
          </a:r>
        </a:p>
      </xdr:txBody>
    </xdr:sp>
    <xdr:clientData/>
  </xdr:twoCellAnchor>
  <xdr:twoCellAnchor>
    <xdr:from>
      <xdr:col>1</xdr:col>
      <xdr:colOff>513862</xdr:colOff>
      <xdr:row>12</xdr:row>
      <xdr:rowOff>52613</xdr:rowOff>
    </xdr:from>
    <xdr:to>
      <xdr:col>1</xdr:col>
      <xdr:colOff>1727200</xdr:colOff>
      <xdr:row>13</xdr:row>
      <xdr:rowOff>122463</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400-000007000000}"/>
            </a:ext>
          </a:extLst>
        </xdr:cNvPr>
        <xdr:cNvSpPr/>
      </xdr:nvSpPr>
      <xdr:spPr>
        <a:xfrm>
          <a:off x="723412" y="2624363"/>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Vendors</a:t>
          </a:r>
          <a:endParaRPr lang="en-GB" sz="1400" b="0" baseline="0">
            <a:solidFill>
              <a:schemeClr val="bg2">
                <a:lumMod val="50000"/>
              </a:schemeClr>
            </a:solidFill>
          </a:endParaRPr>
        </a:p>
      </xdr:txBody>
    </xdr:sp>
    <xdr:clientData/>
  </xdr:twoCellAnchor>
  <xdr:twoCellAnchor>
    <xdr:from>
      <xdr:col>1</xdr:col>
      <xdr:colOff>526562</xdr:colOff>
      <xdr:row>13</xdr:row>
      <xdr:rowOff>93434</xdr:rowOff>
    </xdr:from>
    <xdr:to>
      <xdr:col>1</xdr:col>
      <xdr:colOff>1739900</xdr:colOff>
      <xdr:row>14</xdr:row>
      <xdr:rowOff>163284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400-000008000000}"/>
            </a:ext>
          </a:extLst>
        </xdr:cNvPr>
        <xdr:cNvSpPr/>
      </xdr:nvSpPr>
      <xdr:spPr>
        <a:xfrm>
          <a:off x="736112" y="2849334"/>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baseline="0">
              <a:solidFill>
                <a:schemeClr val="tx1"/>
              </a:solidFill>
            </a:rPr>
            <a:t>New Entry</a:t>
          </a:r>
          <a:endParaRPr lang="en-GB" sz="1400" b="1" baseline="0">
            <a:solidFill>
              <a:schemeClr val="tx1"/>
            </a:solidFill>
          </a:endParaRPr>
        </a:p>
      </xdr:txBody>
    </xdr:sp>
    <xdr:clientData/>
  </xdr:twoCellAnchor>
  <xdr:twoCellAnchor>
    <xdr:from>
      <xdr:col>1</xdr:col>
      <xdr:colOff>526562</xdr:colOff>
      <xdr:row>14</xdr:row>
      <xdr:rowOff>172355</xdr:rowOff>
    </xdr:from>
    <xdr:to>
      <xdr:col>1</xdr:col>
      <xdr:colOff>1739900</xdr:colOff>
      <xdr:row>16</xdr:row>
      <xdr:rowOff>58055</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400-000009000000}"/>
            </a:ext>
          </a:extLst>
        </xdr:cNvPr>
        <xdr:cNvSpPr/>
      </xdr:nvSpPr>
      <xdr:spPr>
        <a:xfrm>
          <a:off x="736112" y="3106055"/>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Purchase</a:t>
          </a:r>
          <a:endParaRPr lang="en-GB" sz="1400" b="0" baseline="0">
            <a:solidFill>
              <a:schemeClr val="bg2">
                <a:lumMod val="50000"/>
              </a:schemeClr>
            </a:solidFill>
          </a:endParaRPr>
        </a:p>
      </xdr:txBody>
    </xdr:sp>
    <xdr:clientData/>
  </xdr:twoCellAnchor>
  <xdr:twoCellAnchor>
    <xdr:from>
      <xdr:col>1</xdr:col>
      <xdr:colOff>526562</xdr:colOff>
      <xdr:row>16</xdr:row>
      <xdr:rowOff>3626</xdr:rowOff>
    </xdr:from>
    <xdr:to>
      <xdr:col>1</xdr:col>
      <xdr:colOff>1739900</xdr:colOff>
      <xdr:row>17</xdr:row>
      <xdr:rowOff>73476</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400-00000A000000}"/>
            </a:ext>
          </a:extLst>
        </xdr:cNvPr>
        <xdr:cNvSpPr/>
      </xdr:nvSpPr>
      <xdr:spPr>
        <a:xfrm>
          <a:off x="736112" y="3305626"/>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Sales</a:t>
          </a:r>
          <a:endParaRPr lang="en-GB" sz="1400" b="0" baseline="0">
            <a:solidFill>
              <a:schemeClr val="bg2">
                <a:lumMod val="50000"/>
              </a:schemeClr>
            </a:solidFill>
          </a:endParaRPr>
        </a:p>
      </xdr:txBody>
    </xdr:sp>
    <xdr:clientData/>
  </xdr:twoCellAnchor>
  <xdr:twoCellAnchor>
    <xdr:from>
      <xdr:col>1</xdr:col>
      <xdr:colOff>526562</xdr:colOff>
      <xdr:row>17</xdr:row>
      <xdr:rowOff>19050</xdr:rowOff>
    </xdr:from>
    <xdr:to>
      <xdr:col>1</xdr:col>
      <xdr:colOff>1739900</xdr:colOff>
      <xdr:row>18</xdr:row>
      <xdr:rowOff>88900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00000000-0008-0000-0400-00000B000000}"/>
            </a:ext>
          </a:extLst>
        </xdr:cNvPr>
        <xdr:cNvSpPr/>
      </xdr:nvSpPr>
      <xdr:spPr>
        <a:xfrm>
          <a:off x="736112" y="35052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Inventory</a:t>
          </a:r>
          <a:endParaRPr lang="en-GB" sz="1400" b="0" baseline="0">
            <a:solidFill>
              <a:schemeClr val="bg2">
                <a:lumMod val="50000"/>
              </a:schemeClr>
            </a:solidFill>
          </a:endParaRPr>
        </a:p>
      </xdr:txBody>
    </xdr:sp>
    <xdr:clientData/>
  </xdr:twoCellAnchor>
  <xdr:twoCellAnchor editAs="oneCell">
    <xdr:from>
      <xdr:col>1</xdr:col>
      <xdr:colOff>94400</xdr:colOff>
      <xdr:row>8</xdr:row>
      <xdr:rowOff>165036</xdr:rowOff>
    </xdr:from>
    <xdr:to>
      <xdr:col>1</xdr:col>
      <xdr:colOff>310300</xdr:colOff>
      <xdr:row>10</xdr:row>
      <xdr:rowOff>12636</xdr:rowOff>
    </xdr:to>
    <xdr:pic>
      <xdr:nvPicPr>
        <xdr:cNvPr id="12" name="Graphic 11" descr="Gauge with solid fill">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03950" y="1816036"/>
          <a:ext cx="215900" cy="215900"/>
        </a:xfrm>
        <a:prstGeom prst="rect">
          <a:avLst/>
        </a:prstGeom>
      </xdr:spPr>
    </xdr:pic>
    <xdr:clientData/>
  </xdr:twoCellAnchor>
  <xdr:twoCellAnchor editAs="oneCell">
    <xdr:from>
      <xdr:col>1</xdr:col>
      <xdr:colOff>81700</xdr:colOff>
      <xdr:row>10</xdr:row>
      <xdr:rowOff>3629</xdr:rowOff>
    </xdr:from>
    <xdr:to>
      <xdr:col>1</xdr:col>
      <xdr:colOff>323000</xdr:colOff>
      <xdr:row>11</xdr:row>
      <xdr:rowOff>29029</xdr:rowOff>
    </xdr:to>
    <xdr:pic>
      <xdr:nvPicPr>
        <xdr:cNvPr id="13" name="Graphic 12" descr="Target Audience with solid fill">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1250" y="2162629"/>
          <a:ext cx="241300" cy="241300"/>
        </a:xfrm>
        <a:prstGeom prst="rect">
          <a:avLst/>
        </a:prstGeom>
      </xdr:spPr>
    </xdr:pic>
    <xdr:clientData/>
  </xdr:twoCellAnchor>
  <xdr:twoCellAnchor editAs="oneCell">
    <xdr:from>
      <xdr:col>1</xdr:col>
      <xdr:colOff>92000</xdr:colOff>
      <xdr:row>12</xdr:row>
      <xdr:rowOff>49115</xdr:rowOff>
    </xdr:from>
    <xdr:to>
      <xdr:col>1</xdr:col>
      <xdr:colOff>323000</xdr:colOff>
      <xdr:row>13</xdr:row>
      <xdr:rowOff>95965</xdr:rowOff>
    </xdr:to>
    <xdr:pic>
      <xdr:nvPicPr>
        <xdr:cNvPr id="14" name="Graphic 13" descr="User with solid fill">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01550" y="2258915"/>
          <a:ext cx="231000" cy="231000"/>
        </a:xfrm>
        <a:prstGeom prst="rect">
          <a:avLst/>
        </a:prstGeom>
      </xdr:spPr>
    </xdr:pic>
    <xdr:clientData/>
  </xdr:twoCellAnchor>
  <xdr:twoCellAnchor editAs="oneCell">
    <xdr:from>
      <xdr:col>1</xdr:col>
      <xdr:colOff>62650</xdr:colOff>
      <xdr:row>10</xdr:row>
      <xdr:rowOff>331172</xdr:rowOff>
    </xdr:from>
    <xdr:to>
      <xdr:col>1</xdr:col>
      <xdr:colOff>323000</xdr:colOff>
      <xdr:row>12</xdr:row>
      <xdr:rowOff>77172</xdr:rowOff>
    </xdr:to>
    <xdr:pic>
      <xdr:nvPicPr>
        <xdr:cNvPr id="15" name="Graphic 14" descr="Balloons with solid fill">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2200" y="2350472"/>
          <a:ext cx="260350" cy="260350"/>
        </a:xfrm>
        <a:prstGeom prst="rect">
          <a:avLst/>
        </a:prstGeom>
      </xdr:spPr>
    </xdr:pic>
    <xdr:clientData/>
  </xdr:twoCellAnchor>
  <xdr:twoCellAnchor editAs="oneCell">
    <xdr:from>
      <xdr:col>1</xdr:col>
      <xdr:colOff>107100</xdr:colOff>
      <xdr:row>14</xdr:row>
      <xdr:rowOff>150201</xdr:rowOff>
    </xdr:from>
    <xdr:to>
      <xdr:col>1</xdr:col>
      <xdr:colOff>323000</xdr:colOff>
      <xdr:row>16</xdr:row>
      <xdr:rowOff>1249</xdr:rowOff>
    </xdr:to>
    <xdr:pic>
      <xdr:nvPicPr>
        <xdr:cNvPr id="16" name="Graphic 15" descr="Checklist with solid fill">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16650" y="2728301"/>
          <a:ext cx="215900" cy="217760"/>
        </a:xfrm>
        <a:prstGeom prst="rect">
          <a:avLst/>
        </a:prstGeom>
      </xdr:spPr>
    </xdr:pic>
    <xdr:clientData/>
  </xdr:twoCellAnchor>
  <xdr:twoCellAnchor editAs="oneCell">
    <xdr:from>
      <xdr:col>1</xdr:col>
      <xdr:colOff>66600</xdr:colOff>
      <xdr:row>13</xdr:row>
      <xdr:rowOff>86958</xdr:rowOff>
    </xdr:from>
    <xdr:to>
      <xdr:col>1</xdr:col>
      <xdr:colOff>323000</xdr:colOff>
      <xdr:row>14</xdr:row>
      <xdr:rowOff>159208</xdr:rowOff>
    </xdr:to>
    <xdr:pic>
      <xdr:nvPicPr>
        <xdr:cNvPr id="17" name="Graphic 16" descr="Cloud Computing with solid fill">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76150" y="2480908"/>
          <a:ext cx="256400" cy="256400"/>
        </a:xfrm>
        <a:prstGeom prst="rect">
          <a:avLst/>
        </a:prstGeom>
      </xdr:spPr>
    </xdr:pic>
    <xdr:clientData/>
  </xdr:twoCellAnchor>
  <xdr:twoCellAnchor editAs="oneCell">
    <xdr:from>
      <xdr:col>1</xdr:col>
      <xdr:colOff>102300</xdr:colOff>
      <xdr:row>17</xdr:row>
      <xdr:rowOff>20600</xdr:rowOff>
    </xdr:from>
    <xdr:to>
      <xdr:col>1</xdr:col>
      <xdr:colOff>323000</xdr:colOff>
      <xdr:row>18</xdr:row>
      <xdr:rowOff>57150</xdr:rowOff>
    </xdr:to>
    <xdr:pic>
      <xdr:nvPicPr>
        <xdr:cNvPr id="18" name="Graphic 17" descr="Database with solid fill">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11850" y="3151150"/>
          <a:ext cx="220700" cy="220700"/>
        </a:xfrm>
        <a:prstGeom prst="rect">
          <a:avLst/>
        </a:prstGeom>
      </xdr:spPr>
    </xdr:pic>
    <xdr:clientData/>
  </xdr:twoCellAnchor>
  <xdr:twoCellAnchor editAs="oneCell">
    <xdr:from>
      <xdr:col>1</xdr:col>
      <xdr:colOff>99900</xdr:colOff>
      <xdr:row>15</xdr:row>
      <xdr:rowOff>174804</xdr:rowOff>
    </xdr:from>
    <xdr:to>
      <xdr:col>1</xdr:col>
      <xdr:colOff>323000</xdr:colOff>
      <xdr:row>17</xdr:row>
      <xdr:rowOff>29604</xdr:rowOff>
    </xdr:to>
    <xdr:pic>
      <xdr:nvPicPr>
        <xdr:cNvPr id="19" name="Graphic 18" descr="List with solid fill">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09450" y="2937054"/>
          <a:ext cx="223100" cy="223100"/>
        </a:xfrm>
        <a:prstGeom prst="rect">
          <a:avLst/>
        </a:prstGeom>
      </xdr:spPr>
    </xdr:pic>
    <xdr:clientData/>
  </xdr:twoCellAnchor>
  <xdr:twoCellAnchor editAs="absolute">
    <xdr:from>
      <xdr:col>3</xdr:col>
      <xdr:colOff>7955</xdr:colOff>
      <xdr:row>1</xdr:row>
      <xdr:rowOff>25657</xdr:rowOff>
    </xdr:from>
    <xdr:to>
      <xdr:col>11</xdr:col>
      <xdr:colOff>1</xdr:colOff>
      <xdr:row>3</xdr:row>
      <xdr:rowOff>109041</xdr:rowOff>
    </xdr:to>
    <xdr:sp macro="" textlink="">
      <xdr:nvSpPr>
        <xdr:cNvPr id="20" name="Rectangle 19">
          <a:extLst>
            <a:ext uri="{FF2B5EF4-FFF2-40B4-BE49-F238E27FC236}">
              <a16:creationId xmlns:a16="http://schemas.microsoft.com/office/drawing/2014/main" id="{00000000-0008-0000-0400-000014000000}"/>
            </a:ext>
          </a:extLst>
        </xdr:cNvPr>
        <xdr:cNvSpPr/>
      </xdr:nvSpPr>
      <xdr:spPr>
        <a:xfrm>
          <a:off x="2116155" y="209807"/>
          <a:ext cx="9021746" cy="45168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tx1"/>
              </a:solidFill>
            </a:rPr>
            <a:t>   New</a:t>
          </a:r>
          <a:r>
            <a:rPr lang="en-GB" sz="2400" b="1" baseline="0">
              <a:solidFill>
                <a:schemeClr val="tx1"/>
              </a:solidFill>
            </a:rPr>
            <a:t> Entry</a:t>
          </a:r>
          <a:endParaRPr lang="en-PK" sz="2400" b="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654050</xdr:colOff>
      <xdr:row>0</xdr:row>
      <xdr:rowOff>152400</xdr:rowOff>
    </xdr:from>
    <xdr:to>
      <xdr:col>1</xdr:col>
      <xdr:colOff>1104900</xdr:colOff>
      <xdr:row>3</xdr:row>
      <xdr:rowOff>50800</xdr:rowOff>
    </xdr:to>
    <xdr:pic>
      <xdr:nvPicPr>
        <xdr:cNvPr id="2" name="Graphic 1" descr="Bar graph with upward trend with solid fill">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63600" y="152400"/>
          <a:ext cx="450850" cy="450850"/>
        </a:xfrm>
        <a:prstGeom prst="rect">
          <a:avLst/>
        </a:prstGeom>
      </xdr:spPr>
    </xdr:pic>
    <xdr:clientData/>
  </xdr:twoCellAnchor>
  <xdr:twoCellAnchor>
    <xdr:from>
      <xdr:col>1</xdr:col>
      <xdr:colOff>19050</xdr:colOff>
      <xdr:row>2</xdr:row>
      <xdr:rowOff>44450</xdr:rowOff>
    </xdr:from>
    <xdr:to>
      <xdr:col>2</xdr:col>
      <xdr:colOff>25400</xdr:colOff>
      <xdr:row>5</xdr:row>
      <xdr:rowOff>101600</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228600" y="412750"/>
          <a:ext cx="17526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tx1"/>
              </a:solidFill>
            </a:rPr>
            <a:t>Inventory</a:t>
          </a:r>
          <a:r>
            <a:rPr lang="en-GB" sz="1400" b="1" baseline="0">
              <a:solidFill>
                <a:schemeClr val="tx1"/>
              </a:solidFill>
            </a:rPr>
            <a:t> Management System</a:t>
          </a:r>
          <a:endParaRPr lang="en-PK" sz="1400" b="1">
            <a:solidFill>
              <a:schemeClr val="tx1"/>
            </a:solidFill>
          </a:endParaRPr>
        </a:p>
      </xdr:txBody>
    </xdr:sp>
    <xdr:clientData/>
  </xdr:twoCellAnchor>
  <xdr:twoCellAnchor>
    <xdr:from>
      <xdr:col>1</xdr:col>
      <xdr:colOff>526562</xdr:colOff>
      <xdr:row>8</xdr:row>
      <xdr:rowOff>101600</xdr:rowOff>
    </xdr:from>
    <xdr:to>
      <xdr:col>1</xdr:col>
      <xdr:colOff>1739900</xdr:colOff>
      <xdr:row>9</xdr:row>
      <xdr:rowOff>171450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500-000004000000}"/>
            </a:ext>
          </a:extLst>
        </xdr:cNvPr>
        <xdr:cNvSpPr/>
      </xdr:nvSpPr>
      <xdr:spPr>
        <a:xfrm>
          <a:off x="736112" y="15748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Dashboard</a:t>
          </a:r>
          <a:endParaRPr lang="en-GB" sz="1400" b="0" baseline="0">
            <a:solidFill>
              <a:schemeClr val="bg2">
                <a:lumMod val="50000"/>
              </a:schemeClr>
            </a:solidFill>
          </a:endParaRPr>
        </a:p>
      </xdr:txBody>
    </xdr:sp>
    <xdr:clientData/>
  </xdr:twoCellAnchor>
  <xdr:twoCellAnchor>
    <xdr:from>
      <xdr:col>1</xdr:col>
      <xdr:colOff>526562</xdr:colOff>
      <xdr:row>9</xdr:row>
      <xdr:rowOff>142421</xdr:rowOff>
    </xdr:from>
    <xdr:to>
      <xdr:col>1</xdr:col>
      <xdr:colOff>1739900</xdr:colOff>
      <xdr:row>11</xdr:row>
      <xdr:rowOff>28121</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500-000005000000}"/>
            </a:ext>
          </a:extLst>
        </xdr:cNvPr>
        <xdr:cNvSpPr/>
      </xdr:nvSpPr>
      <xdr:spPr>
        <a:xfrm>
          <a:off x="736112" y="1799771"/>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Customers</a:t>
          </a:r>
        </a:p>
      </xdr:txBody>
    </xdr:sp>
    <xdr:clientData/>
  </xdr:twoCellAnchor>
  <xdr:twoCellAnchor>
    <xdr:from>
      <xdr:col>1</xdr:col>
      <xdr:colOff>526562</xdr:colOff>
      <xdr:row>10</xdr:row>
      <xdr:rowOff>183242</xdr:rowOff>
    </xdr:from>
    <xdr:to>
      <xdr:col>1</xdr:col>
      <xdr:colOff>1739900</xdr:colOff>
      <xdr:row>12</xdr:row>
      <xdr:rowOff>68942</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500-000006000000}"/>
            </a:ext>
          </a:extLst>
        </xdr:cNvPr>
        <xdr:cNvSpPr/>
      </xdr:nvSpPr>
      <xdr:spPr>
        <a:xfrm>
          <a:off x="736112" y="2024742"/>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Products</a:t>
          </a:r>
        </a:p>
      </xdr:txBody>
    </xdr:sp>
    <xdr:clientData/>
  </xdr:twoCellAnchor>
  <xdr:twoCellAnchor>
    <xdr:from>
      <xdr:col>1</xdr:col>
      <xdr:colOff>526562</xdr:colOff>
      <xdr:row>12</xdr:row>
      <xdr:rowOff>39913</xdr:rowOff>
    </xdr:from>
    <xdr:to>
      <xdr:col>1</xdr:col>
      <xdr:colOff>1739900</xdr:colOff>
      <xdr:row>13</xdr:row>
      <xdr:rowOff>109763</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500-000007000000}"/>
            </a:ext>
          </a:extLst>
        </xdr:cNvPr>
        <xdr:cNvSpPr/>
      </xdr:nvSpPr>
      <xdr:spPr>
        <a:xfrm>
          <a:off x="736112" y="2249713"/>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Vendors</a:t>
          </a:r>
          <a:endParaRPr lang="en-GB" sz="1400" b="0" baseline="0">
            <a:solidFill>
              <a:schemeClr val="bg2">
                <a:lumMod val="50000"/>
              </a:schemeClr>
            </a:solidFill>
          </a:endParaRPr>
        </a:p>
      </xdr:txBody>
    </xdr:sp>
    <xdr:clientData/>
  </xdr:twoCellAnchor>
  <xdr:twoCellAnchor>
    <xdr:from>
      <xdr:col>1</xdr:col>
      <xdr:colOff>526562</xdr:colOff>
      <xdr:row>13</xdr:row>
      <xdr:rowOff>80734</xdr:rowOff>
    </xdr:from>
    <xdr:to>
      <xdr:col>1</xdr:col>
      <xdr:colOff>1739900</xdr:colOff>
      <xdr:row>14</xdr:row>
      <xdr:rowOff>150584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500-000008000000}"/>
            </a:ext>
          </a:extLst>
        </xdr:cNvPr>
        <xdr:cNvSpPr/>
      </xdr:nvSpPr>
      <xdr:spPr>
        <a:xfrm>
          <a:off x="736112" y="2474684"/>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New Entry</a:t>
          </a:r>
          <a:endParaRPr lang="en-GB" sz="1400" b="0" baseline="0">
            <a:solidFill>
              <a:schemeClr val="bg2">
                <a:lumMod val="50000"/>
              </a:schemeClr>
            </a:solidFill>
          </a:endParaRPr>
        </a:p>
      </xdr:txBody>
    </xdr:sp>
    <xdr:clientData/>
  </xdr:twoCellAnchor>
  <xdr:twoCellAnchor>
    <xdr:from>
      <xdr:col>1</xdr:col>
      <xdr:colOff>526562</xdr:colOff>
      <xdr:row>14</xdr:row>
      <xdr:rowOff>121555</xdr:rowOff>
    </xdr:from>
    <xdr:to>
      <xdr:col>1</xdr:col>
      <xdr:colOff>1739900</xdr:colOff>
      <xdr:row>16</xdr:row>
      <xdr:rowOff>7255</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500-000009000000}"/>
            </a:ext>
          </a:extLst>
        </xdr:cNvPr>
        <xdr:cNvSpPr/>
      </xdr:nvSpPr>
      <xdr:spPr>
        <a:xfrm>
          <a:off x="736112" y="2699655"/>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baseline="0">
              <a:solidFill>
                <a:schemeClr val="tx1"/>
              </a:solidFill>
            </a:rPr>
            <a:t>Purchase</a:t>
          </a:r>
          <a:endParaRPr lang="en-GB" sz="1400" b="1" baseline="0">
            <a:solidFill>
              <a:schemeClr val="tx1"/>
            </a:solidFill>
          </a:endParaRPr>
        </a:p>
      </xdr:txBody>
    </xdr:sp>
    <xdr:clientData/>
  </xdr:twoCellAnchor>
  <xdr:twoCellAnchor>
    <xdr:from>
      <xdr:col>1</xdr:col>
      <xdr:colOff>526562</xdr:colOff>
      <xdr:row>15</xdr:row>
      <xdr:rowOff>162376</xdr:rowOff>
    </xdr:from>
    <xdr:to>
      <xdr:col>1</xdr:col>
      <xdr:colOff>1739900</xdr:colOff>
      <xdr:row>17</xdr:row>
      <xdr:rowOff>48076</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500-00000A000000}"/>
            </a:ext>
          </a:extLst>
        </xdr:cNvPr>
        <xdr:cNvSpPr/>
      </xdr:nvSpPr>
      <xdr:spPr>
        <a:xfrm>
          <a:off x="736112" y="2924626"/>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Sales</a:t>
          </a:r>
          <a:endParaRPr lang="en-GB" sz="1400" b="0" baseline="0">
            <a:solidFill>
              <a:schemeClr val="bg2">
                <a:lumMod val="50000"/>
              </a:schemeClr>
            </a:solidFill>
          </a:endParaRPr>
        </a:p>
      </xdr:txBody>
    </xdr:sp>
    <xdr:clientData/>
  </xdr:twoCellAnchor>
  <xdr:twoCellAnchor>
    <xdr:from>
      <xdr:col>1</xdr:col>
      <xdr:colOff>526562</xdr:colOff>
      <xdr:row>17</xdr:row>
      <xdr:rowOff>19050</xdr:rowOff>
    </xdr:from>
    <xdr:to>
      <xdr:col>1</xdr:col>
      <xdr:colOff>1739900</xdr:colOff>
      <xdr:row>18</xdr:row>
      <xdr:rowOff>88900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00000000-0008-0000-0500-00000B000000}"/>
            </a:ext>
          </a:extLst>
        </xdr:cNvPr>
        <xdr:cNvSpPr/>
      </xdr:nvSpPr>
      <xdr:spPr>
        <a:xfrm>
          <a:off x="736112" y="31496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Inventory</a:t>
          </a:r>
          <a:endParaRPr lang="en-GB" sz="1400" b="0" baseline="0">
            <a:solidFill>
              <a:schemeClr val="bg2">
                <a:lumMod val="50000"/>
              </a:schemeClr>
            </a:solidFill>
          </a:endParaRPr>
        </a:p>
      </xdr:txBody>
    </xdr:sp>
    <xdr:clientData/>
  </xdr:twoCellAnchor>
  <xdr:twoCellAnchor editAs="oneCell">
    <xdr:from>
      <xdr:col>1</xdr:col>
      <xdr:colOff>107100</xdr:colOff>
      <xdr:row>8</xdr:row>
      <xdr:rowOff>95186</xdr:rowOff>
    </xdr:from>
    <xdr:to>
      <xdr:col>1</xdr:col>
      <xdr:colOff>323000</xdr:colOff>
      <xdr:row>9</xdr:row>
      <xdr:rowOff>126936</xdr:rowOff>
    </xdr:to>
    <xdr:pic>
      <xdr:nvPicPr>
        <xdr:cNvPr id="12" name="Graphic 11" descr="Gauge with solid fill">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6650" y="1568386"/>
          <a:ext cx="215900" cy="215900"/>
        </a:xfrm>
        <a:prstGeom prst="rect">
          <a:avLst/>
        </a:prstGeom>
      </xdr:spPr>
    </xdr:pic>
    <xdr:clientData/>
  </xdr:twoCellAnchor>
  <xdr:twoCellAnchor editAs="oneCell">
    <xdr:from>
      <xdr:col>1</xdr:col>
      <xdr:colOff>81700</xdr:colOff>
      <xdr:row>9</xdr:row>
      <xdr:rowOff>117929</xdr:rowOff>
    </xdr:from>
    <xdr:to>
      <xdr:col>1</xdr:col>
      <xdr:colOff>323000</xdr:colOff>
      <xdr:row>10</xdr:row>
      <xdr:rowOff>175079</xdr:rowOff>
    </xdr:to>
    <xdr:pic>
      <xdr:nvPicPr>
        <xdr:cNvPr id="13" name="Graphic 12" descr="Target Audience with solid fill">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1250" y="1775279"/>
          <a:ext cx="241300" cy="241300"/>
        </a:xfrm>
        <a:prstGeom prst="rect">
          <a:avLst/>
        </a:prstGeom>
      </xdr:spPr>
    </xdr:pic>
    <xdr:clientData/>
  </xdr:twoCellAnchor>
  <xdr:twoCellAnchor editAs="oneCell">
    <xdr:from>
      <xdr:col>1</xdr:col>
      <xdr:colOff>92000</xdr:colOff>
      <xdr:row>12</xdr:row>
      <xdr:rowOff>49115</xdr:rowOff>
    </xdr:from>
    <xdr:to>
      <xdr:col>1</xdr:col>
      <xdr:colOff>323000</xdr:colOff>
      <xdr:row>13</xdr:row>
      <xdr:rowOff>95965</xdr:rowOff>
    </xdr:to>
    <xdr:pic>
      <xdr:nvPicPr>
        <xdr:cNvPr id="14" name="Graphic 13" descr="User with solid fill">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01550" y="2258915"/>
          <a:ext cx="231000" cy="231000"/>
        </a:xfrm>
        <a:prstGeom prst="rect">
          <a:avLst/>
        </a:prstGeom>
      </xdr:spPr>
    </xdr:pic>
    <xdr:clientData/>
  </xdr:twoCellAnchor>
  <xdr:twoCellAnchor editAs="oneCell">
    <xdr:from>
      <xdr:col>1</xdr:col>
      <xdr:colOff>62650</xdr:colOff>
      <xdr:row>10</xdr:row>
      <xdr:rowOff>166072</xdr:rowOff>
    </xdr:from>
    <xdr:to>
      <xdr:col>1</xdr:col>
      <xdr:colOff>323000</xdr:colOff>
      <xdr:row>12</xdr:row>
      <xdr:rowOff>58122</xdr:rowOff>
    </xdr:to>
    <xdr:pic>
      <xdr:nvPicPr>
        <xdr:cNvPr id="15" name="Graphic 14" descr="Balloons with solid fill">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2200" y="2007572"/>
          <a:ext cx="260350" cy="260350"/>
        </a:xfrm>
        <a:prstGeom prst="rect">
          <a:avLst/>
        </a:prstGeom>
      </xdr:spPr>
    </xdr:pic>
    <xdr:clientData/>
  </xdr:twoCellAnchor>
  <xdr:twoCellAnchor editAs="oneCell">
    <xdr:from>
      <xdr:col>1</xdr:col>
      <xdr:colOff>107100</xdr:colOff>
      <xdr:row>14</xdr:row>
      <xdr:rowOff>150201</xdr:rowOff>
    </xdr:from>
    <xdr:to>
      <xdr:col>1</xdr:col>
      <xdr:colOff>323000</xdr:colOff>
      <xdr:row>15</xdr:row>
      <xdr:rowOff>183811</xdr:rowOff>
    </xdr:to>
    <xdr:pic>
      <xdr:nvPicPr>
        <xdr:cNvPr id="16" name="Graphic 15" descr="Checklist with solid fill">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16650" y="2728301"/>
          <a:ext cx="215900" cy="217760"/>
        </a:xfrm>
        <a:prstGeom prst="rect">
          <a:avLst/>
        </a:prstGeom>
      </xdr:spPr>
    </xdr:pic>
    <xdr:clientData/>
  </xdr:twoCellAnchor>
  <xdr:twoCellAnchor editAs="oneCell">
    <xdr:from>
      <xdr:col>1</xdr:col>
      <xdr:colOff>66600</xdr:colOff>
      <xdr:row>13</xdr:row>
      <xdr:rowOff>86958</xdr:rowOff>
    </xdr:from>
    <xdr:to>
      <xdr:col>1</xdr:col>
      <xdr:colOff>323000</xdr:colOff>
      <xdr:row>14</xdr:row>
      <xdr:rowOff>159208</xdr:rowOff>
    </xdr:to>
    <xdr:pic>
      <xdr:nvPicPr>
        <xdr:cNvPr id="17" name="Graphic 16" descr="Cloud Computing with solid fill">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76150" y="2480908"/>
          <a:ext cx="256400" cy="256400"/>
        </a:xfrm>
        <a:prstGeom prst="rect">
          <a:avLst/>
        </a:prstGeom>
      </xdr:spPr>
    </xdr:pic>
    <xdr:clientData/>
  </xdr:twoCellAnchor>
  <xdr:twoCellAnchor editAs="oneCell">
    <xdr:from>
      <xdr:col>1</xdr:col>
      <xdr:colOff>102300</xdr:colOff>
      <xdr:row>17</xdr:row>
      <xdr:rowOff>20600</xdr:rowOff>
    </xdr:from>
    <xdr:to>
      <xdr:col>1</xdr:col>
      <xdr:colOff>323000</xdr:colOff>
      <xdr:row>18</xdr:row>
      <xdr:rowOff>57150</xdr:rowOff>
    </xdr:to>
    <xdr:pic>
      <xdr:nvPicPr>
        <xdr:cNvPr id="18" name="Graphic 17" descr="Database with solid fill">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11850" y="3151150"/>
          <a:ext cx="220700" cy="220700"/>
        </a:xfrm>
        <a:prstGeom prst="rect">
          <a:avLst/>
        </a:prstGeom>
      </xdr:spPr>
    </xdr:pic>
    <xdr:clientData/>
  </xdr:twoCellAnchor>
  <xdr:twoCellAnchor editAs="oneCell">
    <xdr:from>
      <xdr:col>1</xdr:col>
      <xdr:colOff>99900</xdr:colOff>
      <xdr:row>15</xdr:row>
      <xdr:rowOff>174804</xdr:rowOff>
    </xdr:from>
    <xdr:to>
      <xdr:col>1</xdr:col>
      <xdr:colOff>323000</xdr:colOff>
      <xdr:row>17</xdr:row>
      <xdr:rowOff>29604</xdr:rowOff>
    </xdr:to>
    <xdr:pic>
      <xdr:nvPicPr>
        <xdr:cNvPr id="19" name="Graphic 18" descr="List with solid fil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09450" y="2937054"/>
          <a:ext cx="223100" cy="223100"/>
        </a:xfrm>
        <a:prstGeom prst="rect">
          <a:avLst/>
        </a:prstGeom>
      </xdr:spPr>
    </xdr:pic>
    <xdr:clientData/>
  </xdr:twoCellAnchor>
  <xdr:twoCellAnchor editAs="absolute">
    <xdr:from>
      <xdr:col>3</xdr:col>
      <xdr:colOff>7954</xdr:colOff>
      <xdr:row>1</xdr:row>
      <xdr:rowOff>25657</xdr:rowOff>
    </xdr:from>
    <xdr:to>
      <xdr:col>15</xdr:col>
      <xdr:colOff>406849</xdr:colOff>
      <xdr:row>3</xdr:row>
      <xdr:rowOff>109041</xdr:rowOff>
    </xdr:to>
    <xdr:sp macro="" textlink="">
      <xdr:nvSpPr>
        <xdr:cNvPr id="20" name="Rectangle 19">
          <a:extLst>
            <a:ext uri="{FF2B5EF4-FFF2-40B4-BE49-F238E27FC236}">
              <a16:creationId xmlns:a16="http://schemas.microsoft.com/office/drawing/2014/main" id="{00000000-0008-0000-0500-000014000000}"/>
            </a:ext>
          </a:extLst>
        </xdr:cNvPr>
        <xdr:cNvSpPr/>
      </xdr:nvSpPr>
      <xdr:spPr>
        <a:xfrm>
          <a:off x="2116154" y="209807"/>
          <a:ext cx="9028545" cy="45168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400" b="1">
              <a:solidFill>
                <a:schemeClr val="tx1"/>
              </a:solidFill>
            </a:rPr>
            <a:t>   Purchase</a:t>
          </a:r>
          <a:endParaRPr lang="en-PK" sz="2400" b="1">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647700</xdr:colOff>
      <xdr:row>0</xdr:row>
      <xdr:rowOff>152400</xdr:rowOff>
    </xdr:from>
    <xdr:to>
      <xdr:col>1</xdr:col>
      <xdr:colOff>1111250</xdr:colOff>
      <xdr:row>3</xdr:row>
      <xdr:rowOff>63500</xdr:rowOff>
    </xdr:to>
    <xdr:pic>
      <xdr:nvPicPr>
        <xdr:cNvPr id="2" name="Graphic 1" descr="Bar graph with upward trend with solid fill">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57250" y="152400"/>
          <a:ext cx="463550" cy="463550"/>
        </a:xfrm>
        <a:prstGeom prst="rect">
          <a:avLst/>
        </a:prstGeom>
      </xdr:spPr>
    </xdr:pic>
    <xdr:clientData/>
  </xdr:twoCellAnchor>
  <xdr:twoCellAnchor>
    <xdr:from>
      <xdr:col>1</xdr:col>
      <xdr:colOff>19050</xdr:colOff>
      <xdr:row>2</xdr:row>
      <xdr:rowOff>50800</xdr:rowOff>
    </xdr:from>
    <xdr:to>
      <xdr:col>2</xdr:col>
      <xdr:colOff>25400</xdr:colOff>
      <xdr:row>5</xdr:row>
      <xdr:rowOff>107950</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228600" y="419100"/>
          <a:ext cx="17526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tx1"/>
              </a:solidFill>
            </a:rPr>
            <a:t>Inventory</a:t>
          </a:r>
          <a:r>
            <a:rPr lang="en-GB" sz="1400" b="1" baseline="0">
              <a:solidFill>
                <a:schemeClr val="tx1"/>
              </a:solidFill>
            </a:rPr>
            <a:t> Management System</a:t>
          </a:r>
          <a:endParaRPr lang="en-PK" sz="1400" b="1">
            <a:solidFill>
              <a:schemeClr val="tx1"/>
            </a:solidFill>
          </a:endParaRPr>
        </a:p>
      </xdr:txBody>
    </xdr:sp>
    <xdr:clientData/>
  </xdr:twoCellAnchor>
  <xdr:twoCellAnchor>
    <xdr:from>
      <xdr:col>1</xdr:col>
      <xdr:colOff>526562</xdr:colOff>
      <xdr:row>8</xdr:row>
      <xdr:rowOff>101600</xdr:rowOff>
    </xdr:from>
    <xdr:to>
      <xdr:col>1</xdr:col>
      <xdr:colOff>1739900</xdr:colOff>
      <xdr:row>9</xdr:row>
      <xdr:rowOff>171450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600-000004000000}"/>
            </a:ext>
          </a:extLst>
        </xdr:cNvPr>
        <xdr:cNvSpPr/>
      </xdr:nvSpPr>
      <xdr:spPr>
        <a:xfrm>
          <a:off x="736112" y="15748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Dashboard</a:t>
          </a:r>
          <a:endParaRPr lang="en-GB" sz="1400" b="0" baseline="0">
            <a:solidFill>
              <a:schemeClr val="bg2">
                <a:lumMod val="50000"/>
              </a:schemeClr>
            </a:solidFill>
          </a:endParaRPr>
        </a:p>
      </xdr:txBody>
    </xdr:sp>
    <xdr:clientData/>
  </xdr:twoCellAnchor>
  <xdr:twoCellAnchor>
    <xdr:from>
      <xdr:col>1</xdr:col>
      <xdr:colOff>526562</xdr:colOff>
      <xdr:row>9</xdr:row>
      <xdr:rowOff>142421</xdr:rowOff>
    </xdr:from>
    <xdr:to>
      <xdr:col>1</xdr:col>
      <xdr:colOff>1739900</xdr:colOff>
      <xdr:row>11</xdr:row>
      <xdr:rowOff>28121</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600-000005000000}"/>
            </a:ext>
          </a:extLst>
        </xdr:cNvPr>
        <xdr:cNvSpPr/>
      </xdr:nvSpPr>
      <xdr:spPr>
        <a:xfrm>
          <a:off x="736112" y="1799771"/>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Customers</a:t>
          </a:r>
        </a:p>
      </xdr:txBody>
    </xdr:sp>
    <xdr:clientData/>
  </xdr:twoCellAnchor>
  <xdr:twoCellAnchor>
    <xdr:from>
      <xdr:col>1</xdr:col>
      <xdr:colOff>526562</xdr:colOff>
      <xdr:row>10</xdr:row>
      <xdr:rowOff>183242</xdr:rowOff>
    </xdr:from>
    <xdr:to>
      <xdr:col>1</xdr:col>
      <xdr:colOff>1739900</xdr:colOff>
      <xdr:row>12</xdr:row>
      <xdr:rowOff>68942</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600-000006000000}"/>
            </a:ext>
          </a:extLst>
        </xdr:cNvPr>
        <xdr:cNvSpPr/>
      </xdr:nvSpPr>
      <xdr:spPr>
        <a:xfrm>
          <a:off x="736112" y="2024742"/>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Products</a:t>
          </a:r>
        </a:p>
      </xdr:txBody>
    </xdr:sp>
    <xdr:clientData/>
  </xdr:twoCellAnchor>
  <xdr:twoCellAnchor>
    <xdr:from>
      <xdr:col>1</xdr:col>
      <xdr:colOff>526562</xdr:colOff>
      <xdr:row>12</xdr:row>
      <xdr:rowOff>39913</xdr:rowOff>
    </xdr:from>
    <xdr:to>
      <xdr:col>1</xdr:col>
      <xdr:colOff>1739900</xdr:colOff>
      <xdr:row>13</xdr:row>
      <xdr:rowOff>109763</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600-000007000000}"/>
            </a:ext>
          </a:extLst>
        </xdr:cNvPr>
        <xdr:cNvSpPr/>
      </xdr:nvSpPr>
      <xdr:spPr>
        <a:xfrm>
          <a:off x="736112" y="2249713"/>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Vendors</a:t>
          </a:r>
          <a:endParaRPr lang="en-GB" sz="1400" b="0" baseline="0">
            <a:solidFill>
              <a:schemeClr val="bg2">
                <a:lumMod val="50000"/>
              </a:schemeClr>
            </a:solidFill>
          </a:endParaRPr>
        </a:p>
      </xdr:txBody>
    </xdr:sp>
    <xdr:clientData/>
  </xdr:twoCellAnchor>
  <xdr:twoCellAnchor>
    <xdr:from>
      <xdr:col>1</xdr:col>
      <xdr:colOff>526562</xdr:colOff>
      <xdr:row>13</xdr:row>
      <xdr:rowOff>80734</xdr:rowOff>
    </xdr:from>
    <xdr:to>
      <xdr:col>1</xdr:col>
      <xdr:colOff>1739900</xdr:colOff>
      <xdr:row>14</xdr:row>
      <xdr:rowOff>150584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600-000008000000}"/>
            </a:ext>
          </a:extLst>
        </xdr:cNvPr>
        <xdr:cNvSpPr/>
      </xdr:nvSpPr>
      <xdr:spPr>
        <a:xfrm>
          <a:off x="736112" y="2474684"/>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New Entry</a:t>
          </a:r>
          <a:endParaRPr lang="en-GB" sz="1400" b="0" baseline="0">
            <a:solidFill>
              <a:schemeClr val="bg2">
                <a:lumMod val="50000"/>
              </a:schemeClr>
            </a:solidFill>
          </a:endParaRPr>
        </a:p>
      </xdr:txBody>
    </xdr:sp>
    <xdr:clientData/>
  </xdr:twoCellAnchor>
  <xdr:twoCellAnchor>
    <xdr:from>
      <xdr:col>1</xdr:col>
      <xdr:colOff>526562</xdr:colOff>
      <xdr:row>14</xdr:row>
      <xdr:rowOff>121555</xdr:rowOff>
    </xdr:from>
    <xdr:to>
      <xdr:col>1</xdr:col>
      <xdr:colOff>1739900</xdr:colOff>
      <xdr:row>16</xdr:row>
      <xdr:rowOff>7255</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600-000009000000}"/>
            </a:ext>
          </a:extLst>
        </xdr:cNvPr>
        <xdr:cNvSpPr/>
      </xdr:nvSpPr>
      <xdr:spPr>
        <a:xfrm>
          <a:off x="736112" y="2699655"/>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Purchase</a:t>
          </a:r>
          <a:endParaRPr lang="en-GB" sz="1400" b="0" baseline="0">
            <a:solidFill>
              <a:schemeClr val="bg2">
                <a:lumMod val="50000"/>
              </a:schemeClr>
            </a:solidFill>
          </a:endParaRPr>
        </a:p>
      </xdr:txBody>
    </xdr:sp>
    <xdr:clientData/>
  </xdr:twoCellAnchor>
  <xdr:twoCellAnchor>
    <xdr:from>
      <xdr:col>1</xdr:col>
      <xdr:colOff>526562</xdr:colOff>
      <xdr:row>15</xdr:row>
      <xdr:rowOff>162376</xdr:rowOff>
    </xdr:from>
    <xdr:to>
      <xdr:col>1</xdr:col>
      <xdr:colOff>1739900</xdr:colOff>
      <xdr:row>17</xdr:row>
      <xdr:rowOff>48076</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600-00000A000000}"/>
            </a:ext>
          </a:extLst>
        </xdr:cNvPr>
        <xdr:cNvSpPr/>
      </xdr:nvSpPr>
      <xdr:spPr>
        <a:xfrm>
          <a:off x="736112" y="2924626"/>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baseline="0">
              <a:solidFill>
                <a:schemeClr val="tx1"/>
              </a:solidFill>
            </a:rPr>
            <a:t>Sales</a:t>
          </a:r>
          <a:endParaRPr lang="en-GB" sz="1400" b="1" baseline="0">
            <a:solidFill>
              <a:schemeClr val="tx1"/>
            </a:solidFill>
          </a:endParaRPr>
        </a:p>
      </xdr:txBody>
    </xdr:sp>
    <xdr:clientData/>
  </xdr:twoCellAnchor>
  <xdr:twoCellAnchor>
    <xdr:from>
      <xdr:col>1</xdr:col>
      <xdr:colOff>526562</xdr:colOff>
      <xdr:row>17</xdr:row>
      <xdr:rowOff>19050</xdr:rowOff>
    </xdr:from>
    <xdr:to>
      <xdr:col>1</xdr:col>
      <xdr:colOff>1739900</xdr:colOff>
      <xdr:row>18</xdr:row>
      <xdr:rowOff>88900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00000000-0008-0000-0600-00000B000000}"/>
            </a:ext>
          </a:extLst>
        </xdr:cNvPr>
        <xdr:cNvSpPr/>
      </xdr:nvSpPr>
      <xdr:spPr>
        <a:xfrm>
          <a:off x="736112" y="31496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Inventory</a:t>
          </a:r>
          <a:endParaRPr lang="en-GB" sz="1400" b="0" baseline="0">
            <a:solidFill>
              <a:schemeClr val="bg2">
                <a:lumMod val="50000"/>
              </a:schemeClr>
            </a:solidFill>
          </a:endParaRPr>
        </a:p>
      </xdr:txBody>
    </xdr:sp>
    <xdr:clientData/>
  </xdr:twoCellAnchor>
  <xdr:twoCellAnchor editAs="oneCell">
    <xdr:from>
      <xdr:col>1</xdr:col>
      <xdr:colOff>107100</xdr:colOff>
      <xdr:row>8</xdr:row>
      <xdr:rowOff>95186</xdr:rowOff>
    </xdr:from>
    <xdr:to>
      <xdr:col>1</xdr:col>
      <xdr:colOff>323000</xdr:colOff>
      <xdr:row>9</xdr:row>
      <xdr:rowOff>126936</xdr:rowOff>
    </xdr:to>
    <xdr:pic>
      <xdr:nvPicPr>
        <xdr:cNvPr id="12" name="Graphic 11" descr="Gauge with solid fill">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6650" y="1568386"/>
          <a:ext cx="215900" cy="215900"/>
        </a:xfrm>
        <a:prstGeom prst="rect">
          <a:avLst/>
        </a:prstGeom>
      </xdr:spPr>
    </xdr:pic>
    <xdr:clientData/>
  </xdr:twoCellAnchor>
  <xdr:twoCellAnchor editAs="oneCell">
    <xdr:from>
      <xdr:col>1</xdr:col>
      <xdr:colOff>81700</xdr:colOff>
      <xdr:row>9</xdr:row>
      <xdr:rowOff>117929</xdr:rowOff>
    </xdr:from>
    <xdr:to>
      <xdr:col>1</xdr:col>
      <xdr:colOff>323000</xdr:colOff>
      <xdr:row>10</xdr:row>
      <xdr:rowOff>175079</xdr:rowOff>
    </xdr:to>
    <xdr:pic>
      <xdr:nvPicPr>
        <xdr:cNvPr id="13" name="Graphic 12" descr="Target Audience with solid fill">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1250" y="1775279"/>
          <a:ext cx="241300" cy="241300"/>
        </a:xfrm>
        <a:prstGeom prst="rect">
          <a:avLst/>
        </a:prstGeom>
      </xdr:spPr>
    </xdr:pic>
    <xdr:clientData/>
  </xdr:twoCellAnchor>
  <xdr:twoCellAnchor editAs="oneCell">
    <xdr:from>
      <xdr:col>1</xdr:col>
      <xdr:colOff>92000</xdr:colOff>
      <xdr:row>12</xdr:row>
      <xdr:rowOff>49115</xdr:rowOff>
    </xdr:from>
    <xdr:to>
      <xdr:col>1</xdr:col>
      <xdr:colOff>323000</xdr:colOff>
      <xdr:row>13</xdr:row>
      <xdr:rowOff>95965</xdr:rowOff>
    </xdr:to>
    <xdr:pic>
      <xdr:nvPicPr>
        <xdr:cNvPr id="14" name="Graphic 13" descr="User with solid fill">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01550" y="2258915"/>
          <a:ext cx="231000" cy="231000"/>
        </a:xfrm>
        <a:prstGeom prst="rect">
          <a:avLst/>
        </a:prstGeom>
      </xdr:spPr>
    </xdr:pic>
    <xdr:clientData/>
  </xdr:twoCellAnchor>
  <xdr:twoCellAnchor editAs="oneCell">
    <xdr:from>
      <xdr:col>1</xdr:col>
      <xdr:colOff>62650</xdr:colOff>
      <xdr:row>10</xdr:row>
      <xdr:rowOff>166072</xdr:rowOff>
    </xdr:from>
    <xdr:to>
      <xdr:col>1</xdr:col>
      <xdr:colOff>323000</xdr:colOff>
      <xdr:row>12</xdr:row>
      <xdr:rowOff>58122</xdr:rowOff>
    </xdr:to>
    <xdr:pic>
      <xdr:nvPicPr>
        <xdr:cNvPr id="15" name="Graphic 14" descr="Balloons with solid fill">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2200" y="2007572"/>
          <a:ext cx="260350" cy="260350"/>
        </a:xfrm>
        <a:prstGeom prst="rect">
          <a:avLst/>
        </a:prstGeom>
      </xdr:spPr>
    </xdr:pic>
    <xdr:clientData/>
  </xdr:twoCellAnchor>
  <xdr:twoCellAnchor editAs="oneCell">
    <xdr:from>
      <xdr:col>1</xdr:col>
      <xdr:colOff>107100</xdr:colOff>
      <xdr:row>14</xdr:row>
      <xdr:rowOff>150201</xdr:rowOff>
    </xdr:from>
    <xdr:to>
      <xdr:col>1</xdr:col>
      <xdr:colOff>323000</xdr:colOff>
      <xdr:row>15</xdr:row>
      <xdr:rowOff>183811</xdr:rowOff>
    </xdr:to>
    <xdr:pic>
      <xdr:nvPicPr>
        <xdr:cNvPr id="16" name="Graphic 15" descr="Checklist with solid fill">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16650" y="2728301"/>
          <a:ext cx="215900" cy="217760"/>
        </a:xfrm>
        <a:prstGeom prst="rect">
          <a:avLst/>
        </a:prstGeom>
      </xdr:spPr>
    </xdr:pic>
    <xdr:clientData/>
  </xdr:twoCellAnchor>
  <xdr:twoCellAnchor editAs="oneCell">
    <xdr:from>
      <xdr:col>1</xdr:col>
      <xdr:colOff>66600</xdr:colOff>
      <xdr:row>13</xdr:row>
      <xdr:rowOff>86958</xdr:rowOff>
    </xdr:from>
    <xdr:to>
      <xdr:col>1</xdr:col>
      <xdr:colOff>323000</xdr:colOff>
      <xdr:row>14</xdr:row>
      <xdr:rowOff>159208</xdr:rowOff>
    </xdr:to>
    <xdr:pic>
      <xdr:nvPicPr>
        <xdr:cNvPr id="17" name="Graphic 16" descr="Cloud Computing with solid fill">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76150" y="2480908"/>
          <a:ext cx="256400" cy="256400"/>
        </a:xfrm>
        <a:prstGeom prst="rect">
          <a:avLst/>
        </a:prstGeom>
      </xdr:spPr>
    </xdr:pic>
    <xdr:clientData/>
  </xdr:twoCellAnchor>
  <xdr:twoCellAnchor editAs="oneCell">
    <xdr:from>
      <xdr:col>1</xdr:col>
      <xdr:colOff>102300</xdr:colOff>
      <xdr:row>17</xdr:row>
      <xdr:rowOff>20600</xdr:rowOff>
    </xdr:from>
    <xdr:to>
      <xdr:col>1</xdr:col>
      <xdr:colOff>323000</xdr:colOff>
      <xdr:row>18</xdr:row>
      <xdr:rowOff>57150</xdr:rowOff>
    </xdr:to>
    <xdr:pic>
      <xdr:nvPicPr>
        <xdr:cNvPr id="18" name="Graphic 17" descr="Database with solid fill">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11850" y="3151150"/>
          <a:ext cx="220700" cy="220700"/>
        </a:xfrm>
        <a:prstGeom prst="rect">
          <a:avLst/>
        </a:prstGeom>
      </xdr:spPr>
    </xdr:pic>
    <xdr:clientData/>
  </xdr:twoCellAnchor>
  <xdr:twoCellAnchor editAs="oneCell">
    <xdr:from>
      <xdr:col>1</xdr:col>
      <xdr:colOff>99900</xdr:colOff>
      <xdr:row>15</xdr:row>
      <xdr:rowOff>174804</xdr:rowOff>
    </xdr:from>
    <xdr:to>
      <xdr:col>1</xdr:col>
      <xdr:colOff>323000</xdr:colOff>
      <xdr:row>17</xdr:row>
      <xdr:rowOff>29604</xdr:rowOff>
    </xdr:to>
    <xdr:pic>
      <xdr:nvPicPr>
        <xdr:cNvPr id="19" name="Graphic 18" descr="List with solid fill">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09450" y="2937054"/>
          <a:ext cx="223100" cy="223100"/>
        </a:xfrm>
        <a:prstGeom prst="rect">
          <a:avLst/>
        </a:prstGeom>
      </xdr:spPr>
    </xdr:pic>
    <xdr:clientData/>
  </xdr:twoCellAnchor>
  <xdr:twoCellAnchor editAs="absolute">
    <xdr:from>
      <xdr:col>3</xdr:col>
      <xdr:colOff>14304</xdr:colOff>
      <xdr:row>1</xdr:row>
      <xdr:rowOff>25657</xdr:rowOff>
    </xdr:from>
    <xdr:to>
      <xdr:col>14</xdr:col>
      <xdr:colOff>381449</xdr:colOff>
      <xdr:row>3</xdr:row>
      <xdr:rowOff>109041</xdr:rowOff>
    </xdr:to>
    <xdr:sp macro="" textlink="">
      <xdr:nvSpPr>
        <xdr:cNvPr id="20" name="Rectangle 19">
          <a:extLst>
            <a:ext uri="{FF2B5EF4-FFF2-40B4-BE49-F238E27FC236}">
              <a16:creationId xmlns:a16="http://schemas.microsoft.com/office/drawing/2014/main" id="{00000000-0008-0000-0600-000014000000}"/>
            </a:ext>
          </a:extLst>
        </xdr:cNvPr>
        <xdr:cNvSpPr/>
      </xdr:nvSpPr>
      <xdr:spPr>
        <a:xfrm>
          <a:off x="2116154" y="209807"/>
          <a:ext cx="9028545" cy="45168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400" b="1">
              <a:solidFill>
                <a:schemeClr val="tx1"/>
              </a:solidFill>
            </a:rPr>
            <a:t>   Sales</a:t>
          </a:r>
          <a:endParaRPr lang="en-PK" sz="2400" b="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622300</xdr:colOff>
      <xdr:row>1</xdr:row>
      <xdr:rowOff>38100</xdr:rowOff>
    </xdr:from>
    <xdr:to>
      <xdr:col>1</xdr:col>
      <xdr:colOff>1111250</xdr:colOff>
      <xdr:row>3</xdr:row>
      <xdr:rowOff>158750</xdr:rowOff>
    </xdr:to>
    <xdr:pic>
      <xdr:nvPicPr>
        <xdr:cNvPr id="2" name="Graphic 1" descr="Bar graph with upward trend with solid fill">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31850" y="222250"/>
          <a:ext cx="488950" cy="488950"/>
        </a:xfrm>
        <a:prstGeom prst="rect">
          <a:avLst/>
        </a:prstGeom>
      </xdr:spPr>
    </xdr:pic>
    <xdr:clientData/>
  </xdr:twoCellAnchor>
  <xdr:twoCellAnchor>
    <xdr:from>
      <xdr:col>1</xdr:col>
      <xdr:colOff>0</xdr:colOff>
      <xdr:row>3</xdr:row>
      <xdr:rowOff>63500</xdr:rowOff>
    </xdr:from>
    <xdr:to>
      <xdr:col>2</xdr:col>
      <xdr:colOff>6350</xdr:colOff>
      <xdr:row>6</xdr:row>
      <xdr:rowOff>120650</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209550" y="615950"/>
          <a:ext cx="17526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chemeClr val="tx1"/>
              </a:solidFill>
            </a:rPr>
            <a:t>Inventory</a:t>
          </a:r>
          <a:r>
            <a:rPr lang="en-GB" sz="1400" b="1" baseline="0">
              <a:solidFill>
                <a:schemeClr val="tx1"/>
              </a:solidFill>
            </a:rPr>
            <a:t> Management System</a:t>
          </a:r>
          <a:endParaRPr lang="en-PK" sz="1400" b="1">
            <a:solidFill>
              <a:schemeClr val="tx1"/>
            </a:solidFill>
          </a:endParaRPr>
        </a:p>
      </xdr:txBody>
    </xdr:sp>
    <xdr:clientData/>
  </xdr:twoCellAnchor>
  <xdr:twoCellAnchor>
    <xdr:from>
      <xdr:col>1</xdr:col>
      <xdr:colOff>526562</xdr:colOff>
      <xdr:row>8</xdr:row>
      <xdr:rowOff>101600</xdr:rowOff>
    </xdr:from>
    <xdr:to>
      <xdr:col>1</xdr:col>
      <xdr:colOff>1739900</xdr:colOff>
      <xdr:row>9</xdr:row>
      <xdr:rowOff>171450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700-000004000000}"/>
            </a:ext>
          </a:extLst>
        </xdr:cNvPr>
        <xdr:cNvSpPr/>
      </xdr:nvSpPr>
      <xdr:spPr>
        <a:xfrm>
          <a:off x="736112" y="15748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Dashboard</a:t>
          </a:r>
          <a:endParaRPr lang="en-GB" sz="1400" b="0" baseline="0">
            <a:solidFill>
              <a:schemeClr val="bg2">
                <a:lumMod val="50000"/>
              </a:schemeClr>
            </a:solidFill>
          </a:endParaRPr>
        </a:p>
      </xdr:txBody>
    </xdr:sp>
    <xdr:clientData/>
  </xdr:twoCellAnchor>
  <xdr:twoCellAnchor>
    <xdr:from>
      <xdr:col>1</xdr:col>
      <xdr:colOff>526562</xdr:colOff>
      <xdr:row>9</xdr:row>
      <xdr:rowOff>142421</xdr:rowOff>
    </xdr:from>
    <xdr:to>
      <xdr:col>1</xdr:col>
      <xdr:colOff>1739900</xdr:colOff>
      <xdr:row>11</xdr:row>
      <xdr:rowOff>28121</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700-000005000000}"/>
            </a:ext>
          </a:extLst>
        </xdr:cNvPr>
        <xdr:cNvSpPr/>
      </xdr:nvSpPr>
      <xdr:spPr>
        <a:xfrm>
          <a:off x="736112" y="1799771"/>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Customers</a:t>
          </a:r>
        </a:p>
      </xdr:txBody>
    </xdr:sp>
    <xdr:clientData/>
  </xdr:twoCellAnchor>
  <xdr:twoCellAnchor>
    <xdr:from>
      <xdr:col>1</xdr:col>
      <xdr:colOff>526562</xdr:colOff>
      <xdr:row>10</xdr:row>
      <xdr:rowOff>183242</xdr:rowOff>
    </xdr:from>
    <xdr:to>
      <xdr:col>1</xdr:col>
      <xdr:colOff>1739900</xdr:colOff>
      <xdr:row>12</xdr:row>
      <xdr:rowOff>68942</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00000000-0008-0000-0700-000006000000}"/>
            </a:ext>
          </a:extLst>
        </xdr:cNvPr>
        <xdr:cNvSpPr/>
      </xdr:nvSpPr>
      <xdr:spPr>
        <a:xfrm>
          <a:off x="736112" y="2024742"/>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Products</a:t>
          </a:r>
        </a:p>
      </xdr:txBody>
    </xdr:sp>
    <xdr:clientData/>
  </xdr:twoCellAnchor>
  <xdr:twoCellAnchor>
    <xdr:from>
      <xdr:col>1</xdr:col>
      <xdr:colOff>526562</xdr:colOff>
      <xdr:row>12</xdr:row>
      <xdr:rowOff>39913</xdr:rowOff>
    </xdr:from>
    <xdr:to>
      <xdr:col>1</xdr:col>
      <xdr:colOff>1739900</xdr:colOff>
      <xdr:row>13</xdr:row>
      <xdr:rowOff>109763</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0000000-0008-0000-0700-000007000000}"/>
            </a:ext>
          </a:extLst>
        </xdr:cNvPr>
        <xdr:cNvSpPr/>
      </xdr:nvSpPr>
      <xdr:spPr>
        <a:xfrm>
          <a:off x="736112" y="2249713"/>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Vendors</a:t>
          </a:r>
          <a:endParaRPr lang="en-GB" sz="1400" b="0" baseline="0">
            <a:solidFill>
              <a:schemeClr val="bg2">
                <a:lumMod val="50000"/>
              </a:schemeClr>
            </a:solidFill>
          </a:endParaRPr>
        </a:p>
      </xdr:txBody>
    </xdr:sp>
    <xdr:clientData/>
  </xdr:twoCellAnchor>
  <xdr:twoCellAnchor>
    <xdr:from>
      <xdr:col>1</xdr:col>
      <xdr:colOff>526562</xdr:colOff>
      <xdr:row>13</xdr:row>
      <xdr:rowOff>80734</xdr:rowOff>
    </xdr:from>
    <xdr:to>
      <xdr:col>1</xdr:col>
      <xdr:colOff>1739900</xdr:colOff>
      <xdr:row>14</xdr:row>
      <xdr:rowOff>150584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00000000-0008-0000-0700-000008000000}"/>
            </a:ext>
          </a:extLst>
        </xdr:cNvPr>
        <xdr:cNvSpPr/>
      </xdr:nvSpPr>
      <xdr:spPr>
        <a:xfrm>
          <a:off x="736112" y="2474684"/>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New Entry</a:t>
          </a:r>
          <a:endParaRPr lang="en-GB" sz="1400" b="0" baseline="0">
            <a:solidFill>
              <a:schemeClr val="bg2">
                <a:lumMod val="50000"/>
              </a:schemeClr>
            </a:solidFill>
          </a:endParaRPr>
        </a:p>
      </xdr:txBody>
    </xdr:sp>
    <xdr:clientData/>
  </xdr:twoCellAnchor>
  <xdr:twoCellAnchor>
    <xdr:from>
      <xdr:col>1</xdr:col>
      <xdr:colOff>526562</xdr:colOff>
      <xdr:row>14</xdr:row>
      <xdr:rowOff>121555</xdr:rowOff>
    </xdr:from>
    <xdr:to>
      <xdr:col>1</xdr:col>
      <xdr:colOff>1739900</xdr:colOff>
      <xdr:row>16</xdr:row>
      <xdr:rowOff>7255</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00000000-0008-0000-0700-000009000000}"/>
            </a:ext>
          </a:extLst>
        </xdr:cNvPr>
        <xdr:cNvSpPr/>
      </xdr:nvSpPr>
      <xdr:spPr>
        <a:xfrm>
          <a:off x="736112" y="2699655"/>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Purchase</a:t>
          </a:r>
          <a:endParaRPr lang="en-GB" sz="1400" b="0" baseline="0">
            <a:solidFill>
              <a:schemeClr val="bg2">
                <a:lumMod val="50000"/>
              </a:schemeClr>
            </a:solidFill>
          </a:endParaRPr>
        </a:p>
      </xdr:txBody>
    </xdr:sp>
    <xdr:clientData/>
  </xdr:twoCellAnchor>
  <xdr:twoCellAnchor>
    <xdr:from>
      <xdr:col>1</xdr:col>
      <xdr:colOff>526562</xdr:colOff>
      <xdr:row>15</xdr:row>
      <xdr:rowOff>162376</xdr:rowOff>
    </xdr:from>
    <xdr:to>
      <xdr:col>1</xdr:col>
      <xdr:colOff>1739900</xdr:colOff>
      <xdr:row>17</xdr:row>
      <xdr:rowOff>48076</xdr:rowOff>
    </xdr:to>
    <xdr:sp macro="" textlink="">
      <xdr:nvSpPr>
        <xdr:cNvPr id="10" name="Rectangle 9">
          <a:hlinkClick xmlns:r="http://schemas.openxmlformats.org/officeDocument/2006/relationships" r:id="rId9"/>
          <a:extLst>
            <a:ext uri="{FF2B5EF4-FFF2-40B4-BE49-F238E27FC236}">
              <a16:creationId xmlns:a16="http://schemas.microsoft.com/office/drawing/2014/main" id="{00000000-0008-0000-0700-00000A000000}"/>
            </a:ext>
          </a:extLst>
        </xdr:cNvPr>
        <xdr:cNvSpPr/>
      </xdr:nvSpPr>
      <xdr:spPr>
        <a:xfrm>
          <a:off x="736112" y="2924626"/>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0" baseline="0">
              <a:solidFill>
                <a:schemeClr val="bg2">
                  <a:lumMod val="50000"/>
                </a:schemeClr>
              </a:solidFill>
            </a:rPr>
            <a:t>Sales</a:t>
          </a:r>
          <a:endParaRPr lang="en-GB" sz="1400" b="0" baseline="0">
            <a:solidFill>
              <a:schemeClr val="bg2">
                <a:lumMod val="50000"/>
              </a:schemeClr>
            </a:solidFill>
          </a:endParaRPr>
        </a:p>
      </xdr:txBody>
    </xdr:sp>
    <xdr:clientData/>
  </xdr:twoCellAnchor>
  <xdr:twoCellAnchor>
    <xdr:from>
      <xdr:col>1</xdr:col>
      <xdr:colOff>526562</xdr:colOff>
      <xdr:row>17</xdr:row>
      <xdr:rowOff>19050</xdr:rowOff>
    </xdr:from>
    <xdr:to>
      <xdr:col>1</xdr:col>
      <xdr:colOff>1739900</xdr:colOff>
      <xdr:row>18</xdr:row>
      <xdr:rowOff>88900</xdr:rowOff>
    </xdr:to>
    <xdr:sp macro="" textlink="">
      <xdr:nvSpPr>
        <xdr:cNvPr id="11" name="Rectangle 10">
          <a:hlinkClick xmlns:r="http://schemas.openxmlformats.org/officeDocument/2006/relationships" r:id="rId10"/>
          <a:extLst>
            <a:ext uri="{FF2B5EF4-FFF2-40B4-BE49-F238E27FC236}">
              <a16:creationId xmlns:a16="http://schemas.microsoft.com/office/drawing/2014/main" id="{00000000-0008-0000-0700-00000B000000}"/>
            </a:ext>
          </a:extLst>
        </xdr:cNvPr>
        <xdr:cNvSpPr/>
      </xdr:nvSpPr>
      <xdr:spPr>
        <a:xfrm>
          <a:off x="736112" y="3149600"/>
          <a:ext cx="1213338" cy="25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baseline="0">
              <a:solidFill>
                <a:schemeClr val="tx1"/>
              </a:solidFill>
            </a:rPr>
            <a:t>Inventory</a:t>
          </a:r>
          <a:endParaRPr lang="en-GB" sz="1400" b="1" baseline="0">
            <a:solidFill>
              <a:schemeClr val="tx1"/>
            </a:solidFill>
          </a:endParaRPr>
        </a:p>
      </xdr:txBody>
    </xdr:sp>
    <xdr:clientData/>
  </xdr:twoCellAnchor>
  <xdr:twoCellAnchor editAs="oneCell">
    <xdr:from>
      <xdr:col>1</xdr:col>
      <xdr:colOff>107100</xdr:colOff>
      <xdr:row>8</xdr:row>
      <xdr:rowOff>95186</xdr:rowOff>
    </xdr:from>
    <xdr:to>
      <xdr:col>1</xdr:col>
      <xdr:colOff>323000</xdr:colOff>
      <xdr:row>9</xdr:row>
      <xdr:rowOff>126936</xdr:rowOff>
    </xdr:to>
    <xdr:pic>
      <xdr:nvPicPr>
        <xdr:cNvPr id="12" name="Graphic 11" descr="Gauge with solid fill">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6650" y="1568386"/>
          <a:ext cx="215900" cy="215900"/>
        </a:xfrm>
        <a:prstGeom prst="rect">
          <a:avLst/>
        </a:prstGeom>
      </xdr:spPr>
    </xdr:pic>
    <xdr:clientData/>
  </xdr:twoCellAnchor>
  <xdr:twoCellAnchor editAs="oneCell">
    <xdr:from>
      <xdr:col>1</xdr:col>
      <xdr:colOff>81700</xdr:colOff>
      <xdr:row>9</xdr:row>
      <xdr:rowOff>117929</xdr:rowOff>
    </xdr:from>
    <xdr:to>
      <xdr:col>1</xdr:col>
      <xdr:colOff>323000</xdr:colOff>
      <xdr:row>10</xdr:row>
      <xdr:rowOff>175079</xdr:rowOff>
    </xdr:to>
    <xdr:pic>
      <xdr:nvPicPr>
        <xdr:cNvPr id="13" name="Graphic 12" descr="Target Audience with solid fill">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1250" y="1775279"/>
          <a:ext cx="241300" cy="241300"/>
        </a:xfrm>
        <a:prstGeom prst="rect">
          <a:avLst/>
        </a:prstGeom>
      </xdr:spPr>
    </xdr:pic>
    <xdr:clientData/>
  </xdr:twoCellAnchor>
  <xdr:twoCellAnchor editAs="oneCell">
    <xdr:from>
      <xdr:col>1</xdr:col>
      <xdr:colOff>92000</xdr:colOff>
      <xdr:row>12</xdr:row>
      <xdr:rowOff>49115</xdr:rowOff>
    </xdr:from>
    <xdr:to>
      <xdr:col>1</xdr:col>
      <xdr:colOff>323000</xdr:colOff>
      <xdr:row>13</xdr:row>
      <xdr:rowOff>95965</xdr:rowOff>
    </xdr:to>
    <xdr:pic>
      <xdr:nvPicPr>
        <xdr:cNvPr id="14" name="Graphic 13" descr="User with solid fill">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01550" y="2258915"/>
          <a:ext cx="231000" cy="231000"/>
        </a:xfrm>
        <a:prstGeom prst="rect">
          <a:avLst/>
        </a:prstGeom>
      </xdr:spPr>
    </xdr:pic>
    <xdr:clientData/>
  </xdr:twoCellAnchor>
  <xdr:twoCellAnchor editAs="oneCell">
    <xdr:from>
      <xdr:col>1</xdr:col>
      <xdr:colOff>62650</xdr:colOff>
      <xdr:row>10</xdr:row>
      <xdr:rowOff>166072</xdr:rowOff>
    </xdr:from>
    <xdr:to>
      <xdr:col>1</xdr:col>
      <xdr:colOff>323000</xdr:colOff>
      <xdr:row>12</xdr:row>
      <xdr:rowOff>58122</xdr:rowOff>
    </xdr:to>
    <xdr:pic>
      <xdr:nvPicPr>
        <xdr:cNvPr id="15" name="Graphic 14" descr="Balloons with solid fill">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72200" y="2007572"/>
          <a:ext cx="260350" cy="260350"/>
        </a:xfrm>
        <a:prstGeom prst="rect">
          <a:avLst/>
        </a:prstGeom>
      </xdr:spPr>
    </xdr:pic>
    <xdr:clientData/>
  </xdr:twoCellAnchor>
  <xdr:twoCellAnchor editAs="oneCell">
    <xdr:from>
      <xdr:col>1</xdr:col>
      <xdr:colOff>107100</xdr:colOff>
      <xdr:row>14</xdr:row>
      <xdr:rowOff>150201</xdr:rowOff>
    </xdr:from>
    <xdr:to>
      <xdr:col>1</xdr:col>
      <xdr:colOff>323000</xdr:colOff>
      <xdr:row>15</xdr:row>
      <xdr:rowOff>183811</xdr:rowOff>
    </xdr:to>
    <xdr:pic>
      <xdr:nvPicPr>
        <xdr:cNvPr id="16" name="Graphic 15" descr="Checklist with solid fill">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16650" y="2728301"/>
          <a:ext cx="215900" cy="217760"/>
        </a:xfrm>
        <a:prstGeom prst="rect">
          <a:avLst/>
        </a:prstGeom>
      </xdr:spPr>
    </xdr:pic>
    <xdr:clientData/>
  </xdr:twoCellAnchor>
  <xdr:twoCellAnchor editAs="oneCell">
    <xdr:from>
      <xdr:col>1</xdr:col>
      <xdr:colOff>66600</xdr:colOff>
      <xdr:row>13</xdr:row>
      <xdr:rowOff>86958</xdr:rowOff>
    </xdr:from>
    <xdr:to>
      <xdr:col>1</xdr:col>
      <xdr:colOff>323000</xdr:colOff>
      <xdr:row>14</xdr:row>
      <xdr:rowOff>159208</xdr:rowOff>
    </xdr:to>
    <xdr:pic>
      <xdr:nvPicPr>
        <xdr:cNvPr id="17" name="Graphic 16" descr="Cloud Computing with solid fill">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276150" y="2480908"/>
          <a:ext cx="256400" cy="256400"/>
        </a:xfrm>
        <a:prstGeom prst="rect">
          <a:avLst/>
        </a:prstGeom>
      </xdr:spPr>
    </xdr:pic>
    <xdr:clientData/>
  </xdr:twoCellAnchor>
  <xdr:twoCellAnchor editAs="oneCell">
    <xdr:from>
      <xdr:col>1</xdr:col>
      <xdr:colOff>102300</xdr:colOff>
      <xdr:row>17</xdr:row>
      <xdr:rowOff>20600</xdr:rowOff>
    </xdr:from>
    <xdr:to>
      <xdr:col>1</xdr:col>
      <xdr:colOff>323000</xdr:colOff>
      <xdr:row>18</xdr:row>
      <xdr:rowOff>57150</xdr:rowOff>
    </xdr:to>
    <xdr:pic>
      <xdr:nvPicPr>
        <xdr:cNvPr id="18" name="Graphic 17" descr="Database with solid fill">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11850" y="3151150"/>
          <a:ext cx="220700" cy="220700"/>
        </a:xfrm>
        <a:prstGeom prst="rect">
          <a:avLst/>
        </a:prstGeom>
      </xdr:spPr>
    </xdr:pic>
    <xdr:clientData/>
  </xdr:twoCellAnchor>
  <xdr:twoCellAnchor editAs="oneCell">
    <xdr:from>
      <xdr:col>1</xdr:col>
      <xdr:colOff>99900</xdr:colOff>
      <xdr:row>15</xdr:row>
      <xdr:rowOff>174804</xdr:rowOff>
    </xdr:from>
    <xdr:to>
      <xdr:col>1</xdr:col>
      <xdr:colOff>323000</xdr:colOff>
      <xdr:row>17</xdr:row>
      <xdr:rowOff>29604</xdr:rowOff>
    </xdr:to>
    <xdr:pic>
      <xdr:nvPicPr>
        <xdr:cNvPr id="19" name="Graphic 18" descr="List with solid fill">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09450" y="2937054"/>
          <a:ext cx="223100" cy="223100"/>
        </a:xfrm>
        <a:prstGeom prst="rect">
          <a:avLst/>
        </a:prstGeom>
      </xdr:spPr>
    </xdr:pic>
    <xdr:clientData/>
  </xdr:twoCellAnchor>
  <xdr:twoCellAnchor editAs="absolute">
    <xdr:from>
      <xdr:col>3</xdr:col>
      <xdr:colOff>1604</xdr:colOff>
      <xdr:row>1</xdr:row>
      <xdr:rowOff>25657</xdr:rowOff>
    </xdr:from>
    <xdr:to>
      <xdr:col>15</xdr:col>
      <xdr:colOff>324299</xdr:colOff>
      <xdr:row>3</xdr:row>
      <xdr:rowOff>109041</xdr:rowOff>
    </xdr:to>
    <xdr:sp macro="" textlink="">
      <xdr:nvSpPr>
        <xdr:cNvPr id="20" name="Rectangle 19">
          <a:extLst>
            <a:ext uri="{FF2B5EF4-FFF2-40B4-BE49-F238E27FC236}">
              <a16:creationId xmlns:a16="http://schemas.microsoft.com/office/drawing/2014/main" id="{00000000-0008-0000-0700-000014000000}"/>
            </a:ext>
          </a:extLst>
        </xdr:cNvPr>
        <xdr:cNvSpPr/>
      </xdr:nvSpPr>
      <xdr:spPr>
        <a:xfrm>
          <a:off x="2116154" y="209807"/>
          <a:ext cx="9028545" cy="45168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400" b="1">
              <a:solidFill>
                <a:schemeClr val="tx1"/>
              </a:solidFill>
            </a:rPr>
            <a:t>   Inventory</a:t>
          </a:r>
          <a:endParaRPr lang="en-PK" sz="24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8.141333333333" createdVersion="7" refreshedVersion="7" minRefreshableVersion="3" recordCount="18" xr:uid="{DDB047C4-2C3E-4B68-86A5-3BE617DA1732}">
  <cacheSource type="worksheet">
    <worksheetSource name="Table2"/>
  </cacheSource>
  <cacheFields count="4">
    <cacheField name="Product_Code" numFmtId="0">
      <sharedItems/>
    </cacheField>
    <cacheField name="Product_Name" numFmtId="0">
      <sharedItems/>
    </cacheField>
    <cacheField name="Cost" numFmtId="0">
      <sharedItems containsSemiMixedTypes="0" containsString="0" containsNumber="1" containsInteger="1" minValue="120" maxValue="150000"/>
    </cacheField>
    <cacheField name="Selling_Price" numFmtId="0">
      <sharedItems containsSemiMixedTypes="0" containsString="0" containsNumber="1" containsInteger="1" minValue="250" maxValue="25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8.141333680556" createdVersion="7" refreshedVersion="7" minRefreshableVersion="3" recordCount="18" xr:uid="{783206AC-DAC7-4C7A-B983-A35286481627}">
  <cacheSource type="worksheet">
    <worksheetSource name="Table4"/>
  </cacheSource>
  <cacheFields count="7">
    <cacheField name="Product_Code" numFmtId="0">
      <sharedItems/>
    </cacheField>
    <cacheField name="Product_Name" numFmtId="0">
      <sharedItems/>
    </cacheField>
    <cacheField name="Vendors" numFmtId="0">
      <sharedItems/>
    </cacheField>
    <cacheField name="Date" numFmtId="14">
      <sharedItems containsSemiMixedTypes="0" containsNonDate="0" containsDate="1" containsString="0" minDate="2025-10-06T00:00:00" maxDate="2025-10-11T00:00:00"/>
    </cacheField>
    <cacheField name="Units" numFmtId="0">
      <sharedItems containsSemiMixedTypes="0" containsString="0" containsNumber="1" containsInteger="1" minValue="10" maxValue="60"/>
    </cacheField>
    <cacheField name="Cost" numFmtId="0">
      <sharedItems containsSemiMixedTypes="0" containsString="0" containsNumber="1" containsInteger="1" minValue="120" maxValue="150000"/>
    </cacheField>
    <cacheField name="Amount" numFmtId="0">
      <sharedItems containsSemiMixedTypes="0" containsString="0" containsNumber="1" containsInteger="1" minValue="4200" maxValue="375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8.14133402778" createdVersion="7" refreshedVersion="7" minRefreshableVersion="3" recordCount="18" xr:uid="{FE8A7717-01F8-486D-8E54-1824E0BF156C}">
  <cacheSource type="worksheet">
    <worksheetSource name="salesdata"/>
  </cacheSource>
  <cacheFields count="9">
    <cacheField name="Cust_ID" numFmtId="0">
      <sharedItems containsSemiMixedTypes="0" containsString="0" containsNumber="1" containsInteger="1" minValue="101" maxValue="108"/>
    </cacheField>
    <cacheField name="Cust_Name" numFmtId="0">
      <sharedItems count="8">
        <s v="Ahmed"/>
        <s v="Hamid"/>
        <s v="Ali"/>
        <s v="Ahad"/>
        <s v="Bilal"/>
        <s v="Waleed"/>
        <s v="Danish"/>
        <s v="Qsim"/>
      </sharedItems>
    </cacheField>
    <cacheField name="Product_Code" numFmtId="0">
      <sharedItems/>
    </cacheField>
    <cacheField name="Product_Name" numFmtId="0">
      <sharedItems/>
    </cacheField>
    <cacheField name="Date" numFmtId="14">
      <sharedItems containsSemiMixedTypes="0" containsNonDate="0" containsDate="1" containsString="0" minDate="2025-10-06T00:00:00" maxDate="2025-10-20T00:00:00"/>
    </cacheField>
    <cacheField name="Stock(Units)" numFmtId="0">
      <sharedItems containsSemiMixedTypes="0" containsString="0" containsNumber="1" containsInteger="1" minValue="4" maxValue="59"/>
    </cacheField>
    <cacheField name="Units" numFmtId="0">
      <sharedItems containsSemiMixedTypes="0" containsString="0" containsNumber="1" containsInteger="1" minValue="1" maxValue="11"/>
    </cacheField>
    <cacheField name="Price" numFmtId="0">
      <sharedItems containsSemiMixedTypes="0" containsString="0" containsNumber="1" containsInteger="1" minValue="250" maxValue="250000"/>
    </cacheField>
    <cacheField name="Amount" numFmtId="0">
      <sharedItems containsSemiMixedTypes="0" containsString="0" containsNumber="1" containsInteger="1" minValue="250" maxValue="55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8.14133460648" createdVersion="7" refreshedVersion="7" minRefreshableVersion="3" recordCount="18" xr:uid="{05BE0A32-064D-45C4-B6D5-07454F2FCC17}">
  <cacheSource type="worksheet">
    <worksheetSource name="Table6"/>
  </cacheSource>
  <cacheFields count="8">
    <cacheField name="Product_Code" numFmtId="0">
      <sharedItems/>
    </cacheField>
    <cacheField name="Product_Name" numFmtId="0">
      <sharedItems containsMixedTypes="1" containsNumber="1" containsInteger="1" minValue="0" maxValue="0" count="19">
        <s v="Smart Watch"/>
        <s v="Laptop HP"/>
        <s v="Wireless Printer"/>
        <s v="Desktop"/>
        <s v="Mouse"/>
        <s v="Rgb Keyboard"/>
        <s v="Camera"/>
        <s v="Headphone"/>
        <s v="Speakers"/>
        <s v="Tablets"/>
        <s v="Adopter"/>
        <s v="Wireless Mouse"/>
        <s v="Macbook"/>
        <s v="Charger"/>
        <s v="Apple Watch"/>
        <s v="Lightening Cable"/>
        <s v="Iphone 13"/>
        <s v="Iphone 14"/>
        <n v="0" u="1"/>
      </sharedItems>
    </cacheField>
    <cacheField name="Cost" numFmtId="0">
      <sharedItems containsSemiMixedTypes="0" containsString="0" containsNumber="1" containsInteger="1" minValue="120" maxValue="150000"/>
    </cacheField>
    <cacheField name="Purchased Units" numFmtId="0">
      <sharedItems containsSemiMixedTypes="0" containsString="0" containsNumber="1" containsInteger="1" minValue="10" maxValue="60"/>
    </cacheField>
    <cacheField name="Sold Units" numFmtId="0">
      <sharedItems containsSemiMixedTypes="0" containsString="0" containsNumber="1" containsInteger="1" minValue="1" maxValue="11"/>
    </cacheField>
    <cacheField name="Stock" numFmtId="0">
      <sharedItems containsSemiMixedTypes="0" containsString="0" containsNumber="1" containsInteger="1" minValue="4" maxValue="59"/>
    </cacheField>
    <cacheField name="Stock Amount" numFmtId="0">
      <sharedItems containsSemiMixedTypes="0" containsString="0" containsNumber="1" containsInteger="1" minValue="4080" maxValue="3600000"/>
    </cacheField>
    <cacheField name="Notification" numFmtId="0">
      <sharedItems/>
    </cacheField>
  </cacheFields>
  <extLst>
    <ext xmlns:x14="http://schemas.microsoft.com/office/spreadsheetml/2009/9/main" uri="{725AE2AE-9491-48be-B2B4-4EB974FC3084}">
      <x14:pivotCacheDefinition pivotCacheId="77607873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8.141335416665" createdVersion="7" refreshedVersion="7" minRefreshableVersion="3" recordCount="8" xr:uid="{2399D638-3C43-4821-818D-62559DC87062}">
  <cacheSource type="worksheet">
    <worksheetSource name="customersdata"/>
  </cacheSource>
  <cacheFields count="4">
    <cacheField name="Cust_ID" numFmtId="0">
      <sharedItems containsSemiMixedTypes="0" containsString="0" containsNumber="1" containsInteger="1" minValue="101" maxValue="108"/>
    </cacheField>
    <cacheField name="Cust_Name" numFmtId="0">
      <sharedItems/>
    </cacheField>
    <cacheField name="Email" numFmtId="0">
      <sharedItems/>
    </cacheField>
    <cacheField name="Addres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N101"/>
    <s v="Smart Watch"/>
    <n v="980"/>
    <n v="1200"/>
  </r>
  <r>
    <s v="N102"/>
    <s v="Laptop HP"/>
    <n v="34500"/>
    <n v="50000"/>
  </r>
  <r>
    <s v="N103"/>
    <s v="Wireless Printer"/>
    <n v="35650"/>
    <n v="55000"/>
  </r>
  <r>
    <s v="N104"/>
    <s v="Desktop"/>
    <n v="21000"/>
    <n v="35000"/>
  </r>
  <r>
    <s v="N105"/>
    <s v="Mouse"/>
    <n v="550"/>
    <n v="1100"/>
  </r>
  <r>
    <s v="N106"/>
    <s v="Rgb Keyboard"/>
    <n v="1250"/>
    <n v="2000"/>
  </r>
  <r>
    <s v="N107"/>
    <s v="Camera"/>
    <n v="52000"/>
    <n v="75000"/>
  </r>
  <r>
    <s v="N108"/>
    <s v="Headphone"/>
    <n v="790"/>
    <n v="1800"/>
  </r>
  <r>
    <s v="N109"/>
    <s v="Speakers"/>
    <n v="1750"/>
    <n v="3500"/>
  </r>
  <r>
    <s v="N110"/>
    <s v="Tablets"/>
    <n v="23500"/>
    <n v="45000"/>
  </r>
  <r>
    <s v="N111"/>
    <s v="Adopter"/>
    <n v="1250"/>
    <n v="2500"/>
  </r>
  <r>
    <s v="N112"/>
    <s v="Wireless Mouse"/>
    <n v="2500"/>
    <n v="4000"/>
  </r>
  <r>
    <s v="N113"/>
    <s v="Macbook"/>
    <n v="150000"/>
    <n v="250000"/>
  </r>
  <r>
    <s v="N114"/>
    <s v="Charger"/>
    <n v="450"/>
    <n v="1000"/>
  </r>
  <r>
    <s v="N115"/>
    <s v="Apple Watch"/>
    <n v="25000"/>
    <n v="45000"/>
  </r>
  <r>
    <s v="N116"/>
    <s v="Lightening Cable"/>
    <n v="120"/>
    <n v="250"/>
  </r>
  <r>
    <s v="N117"/>
    <s v="Iphone 13"/>
    <n v="120000"/>
    <n v="150000"/>
  </r>
  <r>
    <s v="N119"/>
    <s v="Iphone 14"/>
    <n v="130000"/>
    <n v="16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N111"/>
    <s v="Adopter"/>
    <s v="Affan"/>
    <d v="2025-10-06T00:00:00"/>
    <n v="10"/>
    <n v="1250"/>
    <n v="12500"/>
  </r>
  <r>
    <s v="N113"/>
    <s v="Macbook"/>
    <s v="Sarim"/>
    <d v="2025-10-07T00:00:00"/>
    <n v="25"/>
    <n v="150000"/>
    <n v="3750000"/>
  </r>
  <r>
    <s v="N114"/>
    <s v="Charger"/>
    <s v="Rayyan"/>
    <d v="2025-10-09T00:00:00"/>
    <n v="50"/>
    <n v="450"/>
    <n v="22500"/>
  </r>
  <r>
    <s v="N104"/>
    <s v="Desktop"/>
    <s v="Kareem"/>
    <d v="2025-10-10T00:00:00"/>
    <n v="10"/>
    <n v="21000"/>
    <n v="210000"/>
  </r>
  <r>
    <s v="N102"/>
    <s v="Laptop HP"/>
    <s v="Hanif"/>
    <d v="2025-10-06T00:00:00"/>
    <n v="15"/>
    <n v="34500"/>
    <n v="517500"/>
  </r>
  <r>
    <s v="N105"/>
    <s v="Mouse"/>
    <s v="Hammad"/>
    <d v="2025-10-07T00:00:00"/>
    <n v="25"/>
    <n v="550"/>
    <n v="13750"/>
  </r>
  <r>
    <s v="N106"/>
    <s v="Rgb Keyboard"/>
    <s v="Yasir"/>
    <d v="2025-10-09T00:00:00"/>
    <n v="32"/>
    <n v="1250"/>
    <n v="40000"/>
  </r>
  <r>
    <s v="N101"/>
    <s v="Smart Watch"/>
    <s v="Wahaj"/>
    <d v="2025-10-10T00:00:00"/>
    <n v="60"/>
    <n v="980"/>
    <n v="58800"/>
  </r>
  <r>
    <s v="N103"/>
    <s v="Wireless Printer"/>
    <s v="Fahad"/>
    <d v="2025-10-06T00:00:00"/>
    <n v="12"/>
    <n v="35650"/>
    <n v="427800"/>
  </r>
  <r>
    <s v="N108"/>
    <s v="Headphone"/>
    <s v="Faizan"/>
    <d v="2025-10-07T00:00:00"/>
    <n v="35"/>
    <n v="790"/>
    <n v="27650"/>
  </r>
  <r>
    <s v="N110"/>
    <s v="Tablets"/>
    <s v="Saad"/>
    <d v="2025-10-09T00:00:00"/>
    <n v="23"/>
    <n v="23500"/>
    <n v="540500"/>
  </r>
  <r>
    <s v="N107"/>
    <s v="Camera"/>
    <s v="Tahir"/>
    <d v="2025-10-10T00:00:00"/>
    <n v="20"/>
    <n v="52000"/>
    <n v="1040000"/>
  </r>
  <r>
    <s v="N109"/>
    <s v="Speakers"/>
    <s v="Rashid"/>
    <d v="2025-10-06T00:00:00"/>
    <n v="14"/>
    <n v="1750"/>
    <n v="24500"/>
  </r>
  <r>
    <s v="N112"/>
    <s v="Wireless Mouse"/>
    <s v="Farhan"/>
    <d v="2025-10-07T00:00:00"/>
    <n v="57"/>
    <n v="2500"/>
    <n v="142500"/>
  </r>
  <r>
    <s v="N115"/>
    <s v="Apple Watch"/>
    <s v="Taimur"/>
    <d v="2025-10-07T00:00:00"/>
    <n v="25"/>
    <n v="25000"/>
    <n v="625000"/>
  </r>
  <r>
    <s v="N116"/>
    <s v="Lightening Cable"/>
    <s v="Taimur"/>
    <d v="2025-10-07T00:00:00"/>
    <n v="35"/>
    <n v="120"/>
    <n v="4200"/>
  </r>
  <r>
    <s v="N117"/>
    <s v="Iphone 13"/>
    <s v="Saim"/>
    <d v="2025-10-07T00:00:00"/>
    <n v="25"/>
    <n v="120000"/>
    <n v="3000000"/>
  </r>
  <r>
    <s v="N119"/>
    <s v="Iphone 14"/>
    <s v="Ebaad"/>
    <d v="2025-10-07T00:00:00"/>
    <n v="16"/>
    <n v="130000"/>
    <n v="208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102"/>
    <x v="0"/>
    <s v="N105"/>
    <s v="Mouse"/>
    <d v="2025-10-06T00:00:00"/>
    <n v="23"/>
    <n v="2"/>
    <n v="1100"/>
    <n v="2200"/>
  </r>
  <r>
    <n v="105"/>
    <x v="1"/>
    <s v="N104"/>
    <s v="Desktop"/>
    <d v="2025-10-07T00:00:00"/>
    <n v="4"/>
    <n v="6"/>
    <n v="35000"/>
    <n v="210000"/>
  </r>
  <r>
    <n v="101"/>
    <x v="2"/>
    <s v="N102"/>
    <s v="Laptop HP"/>
    <d v="2025-10-08T00:00:00"/>
    <n v="4"/>
    <n v="11"/>
    <n v="50000"/>
    <n v="550000"/>
  </r>
  <r>
    <n v="103"/>
    <x v="3"/>
    <s v="N101"/>
    <s v="Smart Watch"/>
    <d v="2025-10-09T00:00:00"/>
    <n v="59"/>
    <n v="1"/>
    <n v="1200"/>
    <n v="1200"/>
  </r>
  <r>
    <n v="104"/>
    <x v="4"/>
    <s v="N103"/>
    <s v="Wireless Printer"/>
    <d v="2025-10-10T00:00:00"/>
    <n v="4"/>
    <n v="8"/>
    <n v="55000"/>
    <n v="440000"/>
  </r>
  <r>
    <n v="107"/>
    <x v="5"/>
    <s v="N107"/>
    <s v="Camera"/>
    <d v="2025-10-11T00:00:00"/>
    <n v="13"/>
    <n v="7"/>
    <n v="75000"/>
    <n v="525000"/>
  </r>
  <r>
    <n v="106"/>
    <x v="6"/>
    <s v="N106"/>
    <s v="Rgb Keyboard"/>
    <d v="2025-10-12T00:00:00"/>
    <n v="29"/>
    <n v="3"/>
    <n v="2000"/>
    <n v="6000"/>
  </r>
  <r>
    <n v="102"/>
    <x v="0"/>
    <s v="N109"/>
    <s v="Speakers"/>
    <d v="2025-10-13T00:00:00"/>
    <n v="12"/>
    <n v="2"/>
    <n v="3500"/>
    <n v="7000"/>
  </r>
  <r>
    <n v="103"/>
    <x v="3"/>
    <s v="N108"/>
    <s v="Headphone"/>
    <d v="2025-10-14T00:00:00"/>
    <n v="34"/>
    <n v="1"/>
    <n v="1800"/>
    <n v="1800"/>
  </r>
  <r>
    <n v="101"/>
    <x v="2"/>
    <s v="N111"/>
    <s v="Adopter"/>
    <d v="2025-10-15T00:00:00"/>
    <n v="4"/>
    <n v="6"/>
    <n v="2500"/>
    <n v="15000"/>
  </r>
  <r>
    <n v="106"/>
    <x v="6"/>
    <s v="N110"/>
    <s v="Tablets"/>
    <d v="2025-10-16T00:00:00"/>
    <n v="21"/>
    <n v="2"/>
    <n v="45000"/>
    <n v="90000"/>
  </r>
  <r>
    <n v="107"/>
    <x v="5"/>
    <s v="N112"/>
    <s v="Wireless Mouse"/>
    <d v="2025-10-17T00:00:00"/>
    <n v="54"/>
    <n v="3"/>
    <n v="4000"/>
    <n v="12000"/>
  </r>
  <r>
    <n v="105"/>
    <x v="1"/>
    <s v="N114"/>
    <s v="Charger"/>
    <d v="2025-10-18T00:00:00"/>
    <n v="46"/>
    <n v="4"/>
    <n v="1000"/>
    <n v="4000"/>
  </r>
  <r>
    <n v="104"/>
    <x v="4"/>
    <s v="N113"/>
    <s v="Macbook"/>
    <d v="2025-10-19T00:00:00"/>
    <n v="24"/>
    <n v="1"/>
    <n v="250000"/>
    <n v="250000"/>
  </r>
  <r>
    <n v="105"/>
    <x v="1"/>
    <s v="N115"/>
    <s v="Apple Watch"/>
    <d v="2025-10-19T00:00:00"/>
    <n v="22"/>
    <n v="3"/>
    <n v="45000"/>
    <n v="135000"/>
  </r>
  <r>
    <n v="104"/>
    <x v="4"/>
    <s v="N116"/>
    <s v="Lightening Cable"/>
    <d v="2025-10-19T00:00:00"/>
    <n v="34"/>
    <n v="1"/>
    <n v="250"/>
    <n v="250"/>
  </r>
  <r>
    <n v="108"/>
    <x v="7"/>
    <s v="N117"/>
    <s v="Iphone 13"/>
    <d v="2025-10-19T00:00:00"/>
    <n v="23"/>
    <n v="2"/>
    <n v="150000"/>
    <n v="300000"/>
  </r>
  <r>
    <n v="108"/>
    <x v="7"/>
    <s v="N119"/>
    <s v="Iphone 14"/>
    <d v="2025-10-19T00:00:00"/>
    <n v="13"/>
    <n v="3"/>
    <n v="165000"/>
    <n v="495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N101"/>
    <x v="0"/>
    <n v="980"/>
    <n v="60"/>
    <n v="1"/>
    <n v="59"/>
    <n v="57820"/>
    <s v=""/>
  </r>
  <r>
    <s v="N102"/>
    <x v="1"/>
    <n v="34500"/>
    <n v="15"/>
    <n v="11"/>
    <n v="4"/>
    <n v="138000"/>
    <s v="📞 Laptop HP Needs to re-order ! Ph 0321xxxxxxxx"/>
  </r>
  <r>
    <s v="N103"/>
    <x v="2"/>
    <n v="35650"/>
    <n v="12"/>
    <n v="8"/>
    <n v="4"/>
    <n v="142600"/>
    <s v="📞 Wireless Printer Needs to re-order ! Ph 0321xxxxxxxx"/>
  </r>
  <r>
    <s v="N104"/>
    <x v="3"/>
    <n v="21000"/>
    <n v="10"/>
    <n v="6"/>
    <n v="4"/>
    <n v="84000"/>
    <s v="📞 Desktop Needs to re-order ! Ph 0333xxxxxxxx"/>
  </r>
  <r>
    <s v="N105"/>
    <x v="4"/>
    <n v="550"/>
    <n v="25"/>
    <n v="2"/>
    <n v="23"/>
    <n v="12650"/>
    <s v=""/>
  </r>
  <r>
    <s v="N106"/>
    <x v="5"/>
    <n v="1250"/>
    <n v="32"/>
    <n v="3"/>
    <n v="29"/>
    <n v="36250"/>
    <s v=""/>
  </r>
  <r>
    <s v="N107"/>
    <x v="6"/>
    <n v="52000"/>
    <n v="20"/>
    <n v="7"/>
    <n v="13"/>
    <n v="676000"/>
    <s v=""/>
  </r>
  <r>
    <s v="N108"/>
    <x v="7"/>
    <n v="790"/>
    <n v="35"/>
    <n v="1"/>
    <n v="34"/>
    <n v="26860"/>
    <s v=""/>
  </r>
  <r>
    <s v="N109"/>
    <x v="8"/>
    <n v="1750"/>
    <n v="14"/>
    <n v="2"/>
    <n v="12"/>
    <n v="21000"/>
    <s v=""/>
  </r>
  <r>
    <s v="N110"/>
    <x v="9"/>
    <n v="23500"/>
    <n v="23"/>
    <n v="2"/>
    <n v="21"/>
    <n v="493500"/>
    <s v=""/>
  </r>
  <r>
    <s v="N111"/>
    <x v="10"/>
    <n v="1250"/>
    <n v="10"/>
    <n v="6"/>
    <n v="4"/>
    <n v="5000"/>
    <s v="📞 Adopter Needs to re-order ! Ph 0317xxxxxxxx"/>
  </r>
  <r>
    <s v="N112"/>
    <x v="11"/>
    <n v="2500"/>
    <n v="57"/>
    <n v="3"/>
    <n v="54"/>
    <n v="135000"/>
    <s v=""/>
  </r>
  <r>
    <s v="N113"/>
    <x v="12"/>
    <n v="150000"/>
    <n v="25"/>
    <n v="1"/>
    <n v="24"/>
    <n v="3600000"/>
    <s v=""/>
  </r>
  <r>
    <s v="N114"/>
    <x v="13"/>
    <n v="450"/>
    <n v="50"/>
    <n v="4"/>
    <n v="46"/>
    <n v="20700"/>
    <s v=""/>
  </r>
  <r>
    <s v="N115"/>
    <x v="14"/>
    <n v="25000"/>
    <n v="25"/>
    <n v="3"/>
    <n v="22"/>
    <n v="550000"/>
    <s v=""/>
  </r>
  <r>
    <s v="N116"/>
    <x v="15"/>
    <n v="120"/>
    <n v="35"/>
    <n v="1"/>
    <n v="34"/>
    <n v="4080"/>
    <s v=""/>
  </r>
  <r>
    <s v="N117"/>
    <x v="16"/>
    <n v="120000"/>
    <n v="25"/>
    <n v="2"/>
    <n v="23"/>
    <n v="2760000"/>
    <s v=""/>
  </r>
  <r>
    <s v="N119"/>
    <x v="17"/>
    <n v="130000"/>
    <n v="16"/>
    <n v="3"/>
    <n v="13"/>
    <n v="1690000"/>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1"/>
    <s v="Ali"/>
    <s v="ali@gmail.com"/>
    <s v="Karachi, Pakistan"/>
  </r>
  <r>
    <n v="102"/>
    <s v="Ahmed"/>
    <s v="ahmed@gmail.com"/>
    <s v="Karachi, Pakistan"/>
  </r>
  <r>
    <n v="103"/>
    <s v="Ahad"/>
    <s v="ahad@gmail.com"/>
    <s v="Karachi, Pakistan"/>
  </r>
  <r>
    <n v="104"/>
    <s v="Bilal"/>
    <s v="bilal@gmail.com"/>
    <s v="Karachi, Pakistan"/>
  </r>
  <r>
    <n v="105"/>
    <s v="Hamid"/>
    <s v="hamid@gmail.com"/>
    <s v="Karachi, Pakistan"/>
  </r>
  <r>
    <n v="106"/>
    <s v="Danish"/>
    <s v="danish@gmail.com"/>
    <s v="Karachi, Pakistan"/>
  </r>
  <r>
    <n v="107"/>
    <s v="Waleed"/>
    <s v="waleed@gmail.com"/>
    <s v="Karachi, Pakistan"/>
  </r>
  <r>
    <n v="108"/>
    <s v="Qsim"/>
    <s v="qasim@gmail.com"/>
    <s v="Karachi, Pakist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D25DA-AABE-4192-B8B6-A60B5D6E4159}"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F3" firstHeaderRow="1" firstDataRow="1" firstDataCol="0"/>
  <pivotFields count="8">
    <pivotField showAll="0"/>
    <pivotField showAll="0"/>
    <pivotField showAll="0"/>
    <pivotField showAll="0"/>
    <pivotField showAll="0"/>
    <pivotField showAll="0"/>
    <pivotField dataField="1" showAll="0"/>
    <pivotField showAll="0"/>
  </pivotFields>
  <rowItems count="1">
    <i/>
  </rowItems>
  <colItems count="1">
    <i/>
  </colItems>
  <dataFields count="1">
    <dataField name="Sum of Stock Amount" fld="6" baseField="0" baseItem="0"/>
  </dataFields>
  <formats count="5">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929D9A-F4C5-4EE5-829A-BCECA86F3B97}"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s">
  <location ref="H2:I21" firstHeaderRow="1" firstDataRow="1" firstDataCol="1"/>
  <pivotFields count="8">
    <pivotField showAll="0"/>
    <pivotField name="stockchart" axis="axisRow" showAll="0">
      <items count="20">
        <item m="1" x="18"/>
        <item x="10"/>
        <item x="14"/>
        <item x="6"/>
        <item x="13"/>
        <item x="3"/>
        <item x="7"/>
        <item x="1"/>
        <item x="15"/>
        <item x="12"/>
        <item x="4"/>
        <item x="5"/>
        <item x="0"/>
        <item x="8"/>
        <item x="9"/>
        <item x="11"/>
        <item x="2"/>
        <item x="16"/>
        <item x="17"/>
        <item t="default"/>
      </items>
    </pivotField>
    <pivotField showAll="0"/>
    <pivotField showAll="0"/>
    <pivotField showAll="0"/>
    <pivotField dataField="1" showAll="0"/>
    <pivotField showAll="0"/>
    <pivotField showAll="0"/>
  </pivotFields>
  <rowFields count="1">
    <field x="1"/>
  </rowFields>
  <rowItems count="19">
    <i>
      <x v="1"/>
    </i>
    <i>
      <x v="2"/>
    </i>
    <i>
      <x v="3"/>
    </i>
    <i>
      <x v="4"/>
    </i>
    <i>
      <x v="5"/>
    </i>
    <i>
      <x v="6"/>
    </i>
    <i>
      <x v="7"/>
    </i>
    <i>
      <x v="8"/>
    </i>
    <i>
      <x v="9"/>
    </i>
    <i>
      <x v="10"/>
    </i>
    <i>
      <x v="11"/>
    </i>
    <i>
      <x v="12"/>
    </i>
    <i>
      <x v="13"/>
    </i>
    <i>
      <x v="14"/>
    </i>
    <i>
      <x v="15"/>
    </i>
    <i>
      <x v="16"/>
    </i>
    <i>
      <x v="17"/>
    </i>
    <i>
      <x v="18"/>
    </i>
    <i t="grand">
      <x/>
    </i>
  </rowItems>
  <colItems count="1">
    <i/>
  </colItems>
  <dataFields count="1">
    <dataField name="Sum of Stock" fld="5" baseField="0" baseItem="0"/>
  </dataFields>
  <chartFormats count="1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5"/>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2" format="10">
      <pivotArea type="data" outline="0" fieldPosition="0">
        <references count="2">
          <reference field="4294967294" count="1" selected="0">
            <x v="0"/>
          </reference>
          <reference field="1" count="1" selected="0">
            <x v="8"/>
          </reference>
        </references>
      </pivotArea>
    </chartFormat>
    <chartFormat chart="2" format="11">
      <pivotArea type="data" outline="0" fieldPosition="0">
        <references count="2">
          <reference field="4294967294" count="1" selected="0">
            <x v="0"/>
          </reference>
          <reference field="1" count="1" selected="0">
            <x v="9"/>
          </reference>
        </references>
      </pivotArea>
    </chartFormat>
    <chartFormat chart="2" format="12">
      <pivotArea type="data" outline="0" fieldPosition="0">
        <references count="2">
          <reference field="4294967294" count="1" selected="0">
            <x v="0"/>
          </reference>
          <reference field="1" count="1" selected="0">
            <x v="10"/>
          </reference>
        </references>
      </pivotArea>
    </chartFormat>
    <chartFormat chart="2" format="13">
      <pivotArea type="data" outline="0" fieldPosition="0">
        <references count="2">
          <reference field="4294967294" count="1" selected="0">
            <x v="0"/>
          </reference>
          <reference field="1" count="1" selected="0">
            <x v="11"/>
          </reference>
        </references>
      </pivotArea>
    </chartFormat>
    <chartFormat chart="2" format="14">
      <pivotArea type="data" outline="0" fieldPosition="0">
        <references count="2">
          <reference field="4294967294" count="1" selected="0">
            <x v="0"/>
          </reference>
          <reference field="1" count="1" selected="0">
            <x v="12"/>
          </reference>
        </references>
      </pivotArea>
    </chartFormat>
    <chartFormat chart="2" format="15">
      <pivotArea type="data" outline="0" fieldPosition="0">
        <references count="2">
          <reference field="4294967294" count="1" selected="0">
            <x v="0"/>
          </reference>
          <reference field="1" count="1" selected="0">
            <x v="13"/>
          </reference>
        </references>
      </pivotArea>
    </chartFormat>
    <chartFormat chart="2" format="16">
      <pivotArea type="data" outline="0" fieldPosition="0">
        <references count="2">
          <reference field="4294967294" count="1" selected="0">
            <x v="0"/>
          </reference>
          <reference field="1" count="1" selected="0">
            <x v="14"/>
          </reference>
        </references>
      </pivotArea>
    </chartFormat>
    <chartFormat chart="2" format="17">
      <pivotArea type="data" outline="0" fieldPosition="0">
        <references count="2">
          <reference field="4294967294" count="1" selected="0">
            <x v="0"/>
          </reference>
          <reference field="1" count="1" selected="0">
            <x v="15"/>
          </reference>
        </references>
      </pivotArea>
    </chartFormat>
    <chartFormat chart="2" format="18">
      <pivotArea type="data" outline="0" fieldPosition="0">
        <references count="2">
          <reference field="4294967294" count="1" selected="0">
            <x v="0"/>
          </reference>
          <reference field="1" count="1" selected="0">
            <x v="16"/>
          </reference>
        </references>
      </pivotArea>
    </chartFormat>
    <chartFormat chart="2" format="19">
      <pivotArea type="data" outline="0" fieldPosition="0">
        <references count="2">
          <reference field="4294967294" count="1" selected="0">
            <x v="0"/>
          </reference>
          <reference field="1" count="1" selected="0">
            <x v="17"/>
          </reference>
        </references>
      </pivotArea>
    </chartFormat>
    <chartFormat chart="2" format="20">
      <pivotArea type="data" outline="0" fieldPosition="0">
        <references count="2">
          <reference field="4294967294" count="1" selected="0">
            <x v="0"/>
          </reference>
          <reference field="1" count="1" selected="0">
            <x v="18"/>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ABF9F3-4BCD-4034-8A25-FA167E00151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C3" firstHeaderRow="1" firstDataRow="1" firstDataCol="0"/>
  <pivotFields count="4">
    <pivotField showAll="0"/>
    <pivotField dataField="1" showAll="0"/>
    <pivotField showAll="0"/>
    <pivotField showAll="0"/>
  </pivotFields>
  <rowItems count="1">
    <i/>
  </rowItems>
  <colItems count="1">
    <i/>
  </colItems>
  <dataFields count="1">
    <dataField name="Count of Product_Name" fld="1" subtotal="count" baseField="0" baseItem="0"/>
  </dataFields>
  <formats count="1">
    <format dxfId="5">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00E256-580E-40C0-AB18-9F3E0C0C0CD1}"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B3" firstHeaderRow="1" firstDataRow="1" firstDataCol="0"/>
  <pivotFields count="4">
    <pivotField showAll="0"/>
    <pivotField dataField="1" showAll="0"/>
    <pivotField showAll="0"/>
    <pivotField showAll="0"/>
  </pivotFields>
  <rowItems count="1">
    <i/>
  </rowItems>
  <colItems count="1">
    <i/>
  </colItems>
  <dataFields count="1">
    <dataField name="Count of Cust_Name" fld="1" subtotal="count" baseField="0" baseItem="0"/>
  </dataFields>
  <formats count="5">
    <format dxfId="10">
      <pivotArea outline="0" collapsedLevelsAreSubtotals="1"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172E41-C9B0-4454-B4B1-C7B9BCDDB2AB}"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s">
  <location ref="B9:C15" firstHeaderRow="1" firstDataRow="1" firstDataCol="1"/>
  <pivotFields count="8">
    <pivotField showAll="0"/>
    <pivotField axis="axisRow" showAll="0" measureFilter="1" sortType="descending">
      <items count="20">
        <item x="2"/>
        <item x="11"/>
        <item x="9"/>
        <item x="8"/>
        <item x="0"/>
        <item x="5"/>
        <item x="4"/>
        <item x="12"/>
        <item x="15"/>
        <item x="1"/>
        <item x="7"/>
        <item x="3"/>
        <item x="13"/>
        <item x="6"/>
        <item x="14"/>
        <item x="10"/>
        <item m="1" x="18"/>
        <item x="16"/>
        <item x="1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1"/>
  </rowFields>
  <rowItems count="6">
    <i>
      <x v="9"/>
    </i>
    <i>
      <x/>
    </i>
    <i>
      <x v="13"/>
    </i>
    <i>
      <x v="15"/>
    </i>
    <i>
      <x v="11"/>
    </i>
    <i t="grand">
      <x/>
    </i>
  </rowItems>
  <colItems count="1">
    <i/>
  </colItems>
  <dataFields count="1">
    <dataField name="Units Sold" fld="4" baseField="1" baseItem="13"/>
  </dataFields>
  <formats count="6">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5">
            <x v="0"/>
            <x v="9"/>
            <x v="12"/>
            <x v="13"/>
            <x v="15"/>
          </reference>
        </references>
      </pivotArea>
    </format>
    <format dxfId="12">
      <pivotArea dataOnly="0" labelOnly="1" grandRow="1" outline="0" fieldPosition="0"/>
    </format>
    <format dxfId="11">
      <pivotArea dataOnly="0" labelOnly="1" outline="0" axis="axisValues" fieldPosition="0"/>
    </format>
  </formats>
  <chartFormats count="7">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13"/>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5"/>
          </reference>
        </references>
      </pivotArea>
    </chartFormat>
    <chartFormat chart="5" format="11">
      <pivotArea type="data" outline="0" fieldPosition="0">
        <references count="2">
          <reference field="4294967294" count="1" selected="0">
            <x v="0"/>
          </reference>
          <reference field="1" count="1" selected="0">
            <x v="9"/>
          </reference>
        </references>
      </pivotArea>
    </chartFormat>
    <chartFormat chart="5" format="12">
      <pivotArea type="data" outline="0" fieldPosition="0">
        <references count="2">
          <reference field="4294967294" count="1" selected="0">
            <x v="0"/>
          </reference>
          <reference field="1" count="1" selected="0">
            <x v="12"/>
          </reference>
        </references>
      </pivotArea>
    </chartFormat>
    <chartFormat chart="5" format="13">
      <pivotArea type="data" outline="0" fieldPosition="0">
        <references count="2">
          <reference field="4294967294" count="1" selected="0">
            <x v="0"/>
          </reference>
          <reference field="1" count="1" selected="0">
            <x v="11"/>
          </reference>
        </references>
      </pivotArea>
    </chartFormat>
  </chartFormats>
  <pivotTableStyleInfo name="PivotStyleDark3"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EEAB31-C138-4B42-B20A-911A99D18237}"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D3" firstHeaderRow="1" firstDataRow="1" firstDataCol="0"/>
  <pivotFields count="7">
    <pivotField showAll="0"/>
    <pivotField showAll="0"/>
    <pivotField showAll="0"/>
    <pivotField numFmtId="14" showAll="0"/>
    <pivotField showAll="0"/>
    <pivotField showAll="0"/>
    <pivotField dataField="1" showAll="0"/>
  </pivotFields>
  <rowItems count="1">
    <i/>
  </rowItems>
  <colItems count="1">
    <i/>
  </colItems>
  <dataFields count="1">
    <dataField name="Sum of Amount" fld="6" baseField="0" baseItem="9"/>
  </dataFields>
  <formats count="1">
    <format dxfId="17">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F388D7-C1CB-41B1-8621-191D9D332374}"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E3" firstHeaderRow="1" firstDataRow="1" firstDataCol="0"/>
  <pivotFields count="9">
    <pivotField showAll="0"/>
    <pivotField showAll="0"/>
    <pivotField showAll="0"/>
    <pivotField showAll="0"/>
    <pivotField numFmtId="14" showAll="0"/>
    <pivotField showAll="0"/>
    <pivotField showAll="0"/>
    <pivotField showAll="0"/>
    <pivotField dataField="1" showAll="0"/>
  </pivotFields>
  <rowItems count="1">
    <i/>
  </rowItems>
  <colItems count="1">
    <i/>
  </colItems>
  <dataFields count="1">
    <dataField name="Sum of Amount" fld="8" baseField="0" baseItem="0"/>
  </dataFields>
  <formats count="1">
    <format dxfId="18">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72576C-2198-49A1-96F4-4657DFC9741E}"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ustomer Name">
  <location ref="D9:E15" firstHeaderRow="1" firstDataRow="1" firstDataCol="1"/>
  <pivotFields count="9">
    <pivotField showAll="0"/>
    <pivotField axis="axisRow" showAll="0" measureFilter="1" sortType="descending">
      <items count="9">
        <item x="3"/>
        <item x="0"/>
        <item x="2"/>
        <item x="4"/>
        <item x="6"/>
        <item x="1"/>
        <item x="5"/>
        <item x="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dataField="1" showAll="0"/>
  </pivotFields>
  <rowFields count="1">
    <field x="1"/>
  </rowFields>
  <rowItems count="6">
    <i>
      <x v="7"/>
    </i>
    <i>
      <x v="3"/>
    </i>
    <i>
      <x v="2"/>
    </i>
    <i>
      <x v="6"/>
    </i>
    <i>
      <x v="5"/>
    </i>
    <i t="grand">
      <x/>
    </i>
  </rowItems>
  <colItems count="1">
    <i/>
  </colItems>
  <dataFields count="1">
    <dataField name="Sales" fld="8" baseField="0" baseItem="0"/>
  </dataFields>
  <formats count="6">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5">
            <x v="2"/>
            <x v="3"/>
            <x v="4"/>
            <x v="5"/>
            <x v="6"/>
          </reference>
        </references>
      </pivotArea>
    </format>
    <format dxfId="20">
      <pivotArea dataOnly="0" labelOnly="1" grandRow="1" outline="0" fieldPosition="0"/>
    </format>
    <format dxfId="19">
      <pivotArea dataOnly="0" labelOnly="1" outline="0" axis="axisValues" fieldPosition="0"/>
    </format>
  </format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3"/>
          </reference>
        </references>
      </pivotArea>
    </chartFormat>
    <chartFormat chart="2" format="9">
      <pivotArea type="data" outline="0" fieldPosition="0">
        <references count="2">
          <reference field="4294967294" count="1" selected="0">
            <x v="0"/>
          </reference>
          <reference field="1" count="1" selected="0">
            <x v="6"/>
          </reference>
        </references>
      </pivotArea>
    </chartFormat>
    <chartFormat chart="2" format="10">
      <pivotArea type="data" outline="0" fieldPosition="0">
        <references count="2">
          <reference field="4294967294" count="1" selected="0">
            <x v="0"/>
          </reference>
          <reference field="1" count="1" selected="0">
            <x v="5"/>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2" format="13">
      <pivotArea type="data" outline="0" fieldPosition="0">
        <references count="2">
          <reference field="4294967294" count="1" selected="0">
            <x v="0"/>
          </reference>
          <reference field="1" count="1" selected="0">
            <x v="7"/>
          </reference>
        </references>
      </pivotArea>
    </chartFormat>
  </chartFormats>
  <pivotTableStyleInfo name="PivotStyleDark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96CA7D5-EDEF-4F1F-AF9F-C19B65386567}" sourceName="Product_Name">
  <pivotTables>
    <pivotTable tabId="9" name="PivotTable8"/>
  </pivotTables>
  <data>
    <tabular pivotCacheId="776078738">
      <items count="19">
        <i x="10" s="1"/>
        <i x="14" s="1"/>
        <i x="6" s="1"/>
        <i x="13" s="1"/>
        <i x="3" s="1"/>
        <i x="7" s="1"/>
        <i x="16" s="1"/>
        <i x="17" s="1"/>
        <i x="1" s="1"/>
        <i x="15" s="1"/>
        <i x="12" s="1"/>
        <i x="4" s="1"/>
        <i x="5" s="1"/>
        <i x="0" s="1"/>
        <i x="8" s="1"/>
        <i x="9" s="1"/>
        <i x="11" s="1"/>
        <i x="2" s="1"/>
        <i x="18"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42072743-8A3D-4645-B7E8-B99265CD321A}" cache="Slicer_Product_Name" caption="Product_Name" columnCount="10"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78DFF3-5EB2-4767-8D91-43DB05040043}" name="customersdata" displayName="customersdata" ref="D5:G13" totalsRowShown="0" headerRowDxfId="93" dataDxfId="91" headerRowBorderDxfId="92" tableBorderDxfId="90" totalsRowBorderDxfId="89">
  <autoFilter ref="D5:G13" xr:uid="{0C78DFF3-5EB2-4767-8D91-43DB05040043}">
    <filterColumn colId="0" hiddenButton="1"/>
    <filterColumn colId="1" hiddenButton="1"/>
    <filterColumn colId="2" hiddenButton="1"/>
    <filterColumn colId="3" hiddenButton="1"/>
  </autoFilter>
  <tableColumns count="4">
    <tableColumn id="1" xr3:uid="{5FD0EE8B-4945-458F-A30F-4A6642DD3F6F}" name="Cust_ID" dataDxfId="88"/>
    <tableColumn id="2" xr3:uid="{C239C98A-7871-40B2-AC76-29AD91022F29}" name="Cust_Name" dataDxfId="87"/>
    <tableColumn id="3" xr3:uid="{87B5CEA2-4E43-432E-996B-CB9ACECCFDC4}" name="Email" dataDxfId="86" dataCellStyle="Hyperlink"/>
    <tableColumn id="4" xr3:uid="{50CD8AA9-3D16-49BE-9223-3FC1B7981C44}" name="Address" dataDxfId="8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966099-F940-427E-87FE-3D25F3F118D7}" name="Table2" displayName="Table2" ref="D5:G24" totalsRowShown="0" headerRowDxfId="84" dataDxfId="82" headerRowBorderDxfId="83" tableBorderDxfId="81" totalsRowBorderDxfId="80">
  <autoFilter ref="D5:G24" xr:uid="{41966099-F940-427E-87FE-3D25F3F118D7}">
    <filterColumn colId="0" hiddenButton="1"/>
    <filterColumn colId="1" hiddenButton="1"/>
    <filterColumn colId="2" hiddenButton="1"/>
    <filterColumn colId="3" hiddenButton="1"/>
  </autoFilter>
  <tableColumns count="4">
    <tableColumn id="1" xr3:uid="{AAC77732-BE16-4D1B-A71E-80684CB05B93}" name="Product_Code" dataDxfId="79"/>
    <tableColumn id="2" xr3:uid="{762B3F9B-2976-4D62-A837-B69C3D4E88F3}" name="Product_Name" dataDxfId="78"/>
    <tableColumn id="3" xr3:uid="{8FBFFBCA-2F08-48F5-A4FD-C7F2FAE3EC7F}" name="Cost" dataDxfId="77"/>
    <tableColumn id="4" xr3:uid="{A8531EE9-78C3-4FE6-A467-2887D2091341}" name="Selling_Price" dataDxfId="7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E89BC7-7F0B-49CB-BBAF-EB9F2BC2654F}" name="Table3" displayName="Table3" ref="D5:H23" totalsRowShown="0" headerRowDxfId="75" dataDxfId="73" headerRowBorderDxfId="74" tableBorderDxfId="72" totalsRowBorderDxfId="71">
  <autoFilter ref="D5:H23" xr:uid="{B7E89BC7-7F0B-49CB-BBAF-EB9F2BC2654F}">
    <filterColumn colId="0" hiddenButton="1"/>
    <filterColumn colId="1" hiddenButton="1"/>
    <filterColumn colId="2" hiddenButton="1"/>
    <filterColumn colId="3" hiddenButton="1"/>
    <filterColumn colId="4" hiddenButton="1"/>
  </autoFilter>
  <tableColumns count="5">
    <tableColumn id="1" xr3:uid="{D0B50473-287C-4737-8995-58DBE7B02AB7}" name="Product_Code" dataDxfId="70" totalsRowDxfId="69"/>
    <tableColumn id="2" xr3:uid="{B6741A50-5E2B-4C45-8454-31C87B384D03}" name="Product_Name" dataDxfId="68" totalsRowDxfId="67"/>
    <tableColumn id="3" xr3:uid="{3B6E1FA7-1E6A-4050-A25F-B9BD7A6333F1}" name="Vendor_ Name" dataDxfId="66" totalsRowDxfId="65"/>
    <tableColumn id="4" xr3:uid="{6B27C628-46F5-4BAC-AFCF-296F83BFAD59}" name="Phone_No" dataDxfId="64" totalsRowDxfId="63"/>
    <tableColumn id="5" xr3:uid="{02DB8704-F83C-46DD-AF09-177F7C0A44EA}" name="Address" dataDxfId="62" totalsRowDxfId="6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10979C-E6F2-4583-B18C-969568703916}" name="Table4" displayName="Table4" ref="D5:J24" totalsRowShown="0" headerRowDxfId="60" dataDxfId="58" headerRowBorderDxfId="59" tableBorderDxfId="57" totalsRowBorderDxfId="56">
  <autoFilter ref="D5:J24" xr:uid="{6910979C-E6F2-4583-B18C-969568703916}"/>
  <tableColumns count="7">
    <tableColumn id="1" xr3:uid="{B925BBAF-332C-412C-A400-61A996AFF832}" name="Product_Code" dataDxfId="55"/>
    <tableColumn id="2" xr3:uid="{99A34FAA-D8B9-4101-B324-49E9F5BE2EA6}" name="Product_Name" dataDxfId="54">
      <calculatedColumnFormula>IFERROR(VLOOKUP(PURCHASE!$D6,Table2[#All],2,0),"")</calculatedColumnFormula>
    </tableColumn>
    <tableColumn id="3" xr3:uid="{005D0A21-8372-4740-AB8E-953B77DA1A25}" name="Vendors" dataDxfId="53">
      <calculatedColumnFormula>IFERROR(VLOOKUP(PURCHASE!$D6,Table3[#All],3,0),"")</calculatedColumnFormula>
    </tableColumn>
    <tableColumn id="4" xr3:uid="{56C78A05-1A65-478F-B325-8DC56692B4E7}" name="Date" dataDxfId="52"/>
    <tableColumn id="5" xr3:uid="{1B83DBE2-044E-4990-BDF8-0C0A49CD9186}" name="Units" dataDxfId="51"/>
    <tableColumn id="6" xr3:uid="{CD192D9D-19A9-47D2-8609-1030F90EBFE9}" name="Cost" dataDxfId="50">
      <calculatedColumnFormula>IFERROR(VLOOKUP(PURCHASE!$D6,Table2[#All],3,0),"")</calculatedColumnFormula>
    </tableColumn>
    <tableColumn id="7" xr3:uid="{6DAE1A47-A552-4FB9-ABD9-B610833D1E36}" name="Amount" dataDxfId="49">
      <calculatedColumnFormula>Table4[[#This Row],[Units]]*Table4[[#This Row],[Cost]]</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D986A24-8D9E-4BD6-B93C-2B401EF422CE}" name="salesdata" displayName="salesdata" ref="D5:L23" totalsRowShown="0" headerRowDxfId="48" dataDxfId="46" headerRowBorderDxfId="47" tableBorderDxfId="45" totalsRowBorderDxfId="44">
  <autoFilter ref="D5:L23" xr:uid="{8D986A24-8D9E-4BD6-B93C-2B401EF422C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9716CD0-26A5-46CA-B277-8E1C82BFB9CD}" name="Cust_ID" dataDxfId="43"/>
    <tableColumn id="2" xr3:uid="{F2E00172-636E-4B15-896B-0453166FDADB}" name="Cust_Name" dataDxfId="42">
      <calculatedColumnFormula>IFERROR(VLOOKUP(salesdata[[#This Row],[Cust_ID]],customersdata[#All],2,0),"")</calculatedColumnFormula>
    </tableColumn>
    <tableColumn id="3" xr3:uid="{8909384A-9905-41AD-A0DF-F1BA52A6CB95}" name="Product_Code" dataDxfId="41"/>
    <tableColumn id="4" xr3:uid="{2068329F-5DEC-4641-880C-0F7F336BF022}" name="Product_Name" dataDxfId="40">
      <calculatedColumnFormula>IFERROR(VLOOKUP(salesdata[[#This Row],[Product_Code]],Table2[#All],2,0),"")</calculatedColumnFormula>
    </tableColumn>
    <tableColumn id="5" xr3:uid="{0CDD0ED6-4665-40D2-AA7F-C6C49A9369AC}" name="Date" dataDxfId="39"/>
    <tableColumn id="6" xr3:uid="{550B2409-71B1-49F8-828A-7A85047F57BF}" name="Stock(Units)" dataDxfId="38">
      <calculatedColumnFormula>IFERROR(VLOOKUP(salesdata[[#This Row],[Product_Code]],Table6[#All],6,0),"")</calculatedColumnFormula>
    </tableColumn>
    <tableColumn id="7" xr3:uid="{E331305F-C5FD-457D-BE23-BA73483CE306}" name="Units" dataDxfId="37"/>
    <tableColumn id="8" xr3:uid="{8B99B47B-3B4E-4063-8D54-E51224298327}" name="Price" dataDxfId="36">
      <calculatedColumnFormula>IFERROR(VLOOKUP(salesdata[[#This Row],[Product_Code]],Table2[#All],4,0),"")</calculatedColumnFormula>
    </tableColumn>
    <tableColumn id="9" xr3:uid="{5576336F-91EF-4454-B034-CFC095FA8451}" name="Amount" dataDxfId="35">
      <calculatedColumnFormula>salesdata[[#This Row],[Units]]*salesdata[[#This Row],[Price]]</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06FBBE-FF88-4409-881A-25111426DEB5}" name="Table6" displayName="Table6" ref="D6:K24" totalsRowShown="0" headerRowDxfId="34" dataDxfId="33">
  <autoFilter ref="D6:K24" xr:uid="{4806FBBE-FF88-4409-881A-25111426DEB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E786671-7639-4E7A-99CC-1FE2316F5A29}" name="Product_Code" dataDxfId="32">
      <calculatedColumnFormula>IFERROR(PRODUCTS!D6,"")</calculatedColumnFormula>
    </tableColumn>
    <tableColumn id="2" xr3:uid="{FDE3043A-40DE-4C56-997B-A5512F925343}" name="Product_Name" dataDxfId="31">
      <calculatedColumnFormula>IFERROR(PRODUCTS!E6,"")</calculatedColumnFormula>
    </tableColumn>
    <tableColumn id="3" xr3:uid="{49EF5EB3-7268-4A26-8150-4BC9D375AEE9}" name="Cost" dataDxfId="30">
      <calculatedColumnFormula>IFERROR(PRODUCTS!F6,"")</calculatedColumnFormula>
    </tableColumn>
    <tableColumn id="4" xr3:uid="{741AE7AE-29F3-48EE-AF22-B2084F331360}" name="Purchased Units" dataDxfId="29">
      <calculatedColumnFormula>SUMIF(Table4[Product_Name],Table6[[#This Row],[Product_Name]],Table4[Units])</calculatedColumnFormula>
    </tableColumn>
    <tableColumn id="5" xr3:uid="{00AC944F-CD3F-411D-98D8-9ECECF09B60F}" name="Sold Units" dataDxfId="28">
      <calculatedColumnFormula>SUMIF(salesdata[Product_Name],Table6[[#This Row],[Product_Name]],salesdata[Units])</calculatedColumnFormula>
    </tableColumn>
    <tableColumn id="6" xr3:uid="{2FC54877-3E17-4B4A-98E8-9898A3EB7116}" name="Stock" dataDxfId="27">
      <calculatedColumnFormula>Table6[[#This Row],[Purchased Units]]-Table6[[#This Row],[Sold Units]]</calculatedColumnFormula>
    </tableColumn>
    <tableColumn id="7" xr3:uid="{DB3BDFD2-1D4B-46CD-AF3B-9377D445AD91}" name="Stock Amount" dataDxfId="26">
      <calculatedColumnFormula>Table6[[#This Row],[Cost]]*Table6[[#This Row],[Stock]]</calculatedColumnFormula>
    </tableColumn>
    <tableColumn id="8" xr3:uid="{3D2C85C6-8A47-435B-93AA-CCF9E7AC13F1}" name="Notification" dataDxfId="25">
      <calculatedColumnFormula>IF(Table6[[#This Row],[Stock]]&lt;5,"📞 "&amp;Table6[[#This Row],[Product_Name]]&amp;" Needs to re-order ! Ph "&amp;VLOOKUP(Table6[[#This Row],[Product_Code]],Table3[#All],4,0),"")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qasim@gmail.com" TargetMode="External"/><Relationship Id="rId3" Type="http://schemas.openxmlformats.org/officeDocument/2006/relationships/hyperlink" Target="mailto:ahad@gmail.com" TargetMode="External"/><Relationship Id="rId7" Type="http://schemas.openxmlformats.org/officeDocument/2006/relationships/hyperlink" Target="mailto:waleed@gmail.com" TargetMode="External"/><Relationship Id="rId2" Type="http://schemas.openxmlformats.org/officeDocument/2006/relationships/hyperlink" Target="mailto:ahmed@gmail.com" TargetMode="External"/><Relationship Id="rId1" Type="http://schemas.openxmlformats.org/officeDocument/2006/relationships/hyperlink" Target="mailto:ali@gmail.com" TargetMode="External"/><Relationship Id="rId6" Type="http://schemas.openxmlformats.org/officeDocument/2006/relationships/hyperlink" Target="mailto:danish@gmail.com" TargetMode="External"/><Relationship Id="rId5" Type="http://schemas.openxmlformats.org/officeDocument/2006/relationships/hyperlink" Target="mailto:hamid@gmail.com" TargetMode="External"/><Relationship Id="rId10" Type="http://schemas.openxmlformats.org/officeDocument/2006/relationships/table" Target="../tables/table1.xml"/><Relationship Id="rId4" Type="http://schemas.openxmlformats.org/officeDocument/2006/relationships/hyperlink" Target="mailto:bilal@gmail.com"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C2D07-B923-4297-BE2B-63A016FAB6BB}">
  <sheetPr codeName="Sheet1"/>
  <dimension ref="B2:Y40"/>
  <sheetViews>
    <sheetView showGridLines="0" showRowColHeaders="0" tabSelected="1" zoomScale="72" zoomScaleNormal="72" workbookViewId="0">
      <selection activeCell="E3" sqref="E3"/>
    </sheetView>
  </sheetViews>
  <sheetFormatPr defaultRowHeight="14.5" x14ac:dyDescent="0.35"/>
  <cols>
    <col min="1" max="1" width="3" style="1" customWidth="1"/>
    <col min="2" max="2" width="25" style="1" customWidth="1"/>
    <col min="3" max="3" width="2.1796875" style="1" customWidth="1"/>
    <col min="4" max="4" width="17.453125" style="1" customWidth="1"/>
    <col min="5" max="16" width="8.7265625" style="1"/>
    <col min="17" max="17" width="9.36328125" style="1" customWidth="1"/>
    <col min="18" max="24" width="8.7265625" style="1"/>
    <col min="25" max="25" width="11.7265625" style="1" customWidth="1"/>
    <col min="26" max="16384" width="8.7265625" style="1"/>
  </cols>
  <sheetData>
    <row r="2" spans="2:25" x14ac:dyDescent="0.35">
      <c r="B2" s="2"/>
    </row>
    <row r="3" spans="2:25" x14ac:dyDescent="0.35">
      <c r="B3" s="2"/>
    </row>
    <row r="4" spans="2:25" x14ac:dyDescent="0.35">
      <c r="B4" s="2"/>
    </row>
    <row r="5" spans="2:25" x14ac:dyDescent="0.35">
      <c r="B5" s="2"/>
    </row>
    <row r="6" spans="2:25" x14ac:dyDescent="0.35">
      <c r="B6" s="2"/>
    </row>
    <row r="7" spans="2:25" x14ac:dyDescent="0.35">
      <c r="B7" s="2"/>
    </row>
    <row r="8" spans="2:25" x14ac:dyDescent="0.35">
      <c r="B8" s="2"/>
    </row>
    <row r="9" spans="2:25" x14ac:dyDescent="0.35">
      <c r="B9" s="2"/>
    </row>
    <row r="10" spans="2:25" x14ac:dyDescent="0.35">
      <c r="B10" s="2"/>
      <c r="R10" s="52" t="s">
        <v>101</v>
      </c>
      <c r="S10" s="52"/>
      <c r="T10" s="52"/>
      <c r="U10" s="52"/>
      <c r="V10" s="52"/>
      <c r="W10" s="52"/>
      <c r="X10" s="52"/>
      <c r="Y10" s="52"/>
    </row>
    <row r="11" spans="2:25" x14ac:dyDescent="0.35">
      <c r="B11" s="2"/>
      <c r="R11" s="13" t="str" cm="1">
        <f t="array" ref="R11:R14">_xlfn._xlws.FILTER(Table6[Notification],Table6[Notification]&lt;&gt;"")</f>
        <v>📞 Laptop HP Needs to re-order ! Ph 0321xxxxxxxx</v>
      </c>
      <c r="S11" s="12"/>
      <c r="T11" s="12"/>
      <c r="U11" s="12"/>
      <c r="V11" s="12"/>
      <c r="W11" s="2"/>
      <c r="X11" s="2"/>
      <c r="Y11" s="2"/>
    </row>
    <row r="12" spans="2:25" x14ac:dyDescent="0.35">
      <c r="B12" s="2"/>
      <c r="R12" s="13" t="str">
        <v>📞 Wireless Printer Needs to re-order ! Ph 0321xxxxxxxx</v>
      </c>
      <c r="S12" s="11"/>
      <c r="T12" s="2"/>
      <c r="U12" s="2"/>
      <c r="V12" s="2"/>
      <c r="W12" s="2"/>
      <c r="X12" s="2"/>
      <c r="Y12" s="2"/>
    </row>
    <row r="13" spans="2:25" x14ac:dyDescent="0.35">
      <c r="B13" s="2"/>
      <c r="R13" s="13" t="str">
        <v>📞 Desktop Needs to re-order ! Ph 0333xxxxxxxx</v>
      </c>
      <c r="S13" s="11"/>
      <c r="T13" s="2"/>
      <c r="U13" s="2"/>
      <c r="V13" s="2"/>
      <c r="W13" s="2"/>
      <c r="X13" s="2"/>
      <c r="Y13" s="2"/>
    </row>
    <row r="14" spans="2:25" x14ac:dyDescent="0.35">
      <c r="B14" s="2"/>
      <c r="R14" s="14" t="str">
        <v>📞 Adopter Needs to re-order ! Ph 0317xxxxxxxx</v>
      </c>
      <c r="S14" s="11"/>
      <c r="T14" s="2"/>
      <c r="U14" s="2"/>
      <c r="V14" s="2"/>
      <c r="W14" s="2"/>
      <c r="X14" s="2"/>
      <c r="Y14" s="2"/>
    </row>
    <row r="15" spans="2:25" x14ac:dyDescent="0.35">
      <c r="B15" s="2"/>
      <c r="R15" s="14"/>
      <c r="S15" s="11"/>
      <c r="T15" s="2"/>
      <c r="U15" s="2"/>
      <c r="V15" s="2"/>
      <c r="W15" s="2"/>
      <c r="X15" s="2"/>
      <c r="Y15" s="2"/>
    </row>
    <row r="16" spans="2:25" x14ac:dyDescent="0.35">
      <c r="B16" s="2"/>
      <c r="R16" s="14"/>
      <c r="S16" s="11"/>
      <c r="T16" s="2"/>
      <c r="U16" s="2"/>
      <c r="V16" s="2"/>
      <c r="W16" s="2"/>
      <c r="X16" s="2"/>
      <c r="Y16" s="2"/>
    </row>
    <row r="17" spans="2:25" x14ac:dyDescent="0.35">
      <c r="B17" s="2"/>
      <c r="R17" s="14"/>
      <c r="S17" s="11"/>
      <c r="T17" s="2"/>
      <c r="U17" s="2"/>
      <c r="V17" s="2"/>
      <c r="W17" s="2"/>
      <c r="X17" s="2"/>
      <c r="Y17" s="2"/>
    </row>
    <row r="18" spans="2:25" x14ac:dyDescent="0.35">
      <c r="B18" s="2"/>
      <c r="R18" s="14"/>
      <c r="S18" s="11"/>
      <c r="T18" s="2"/>
      <c r="U18" s="2"/>
      <c r="V18" s="2"/>
      <c r="W18" s="2"/>
      <c r="X18" s="2"/>
      <c r="Y18" s="2"/>
    </row>
    <row r="19" spans="2:25" x14ac:dyDescent="0.35">
      <c r="B19" s="2"/>
      <c r="R19" s="14"/>
      <c r="S19" s="11"/>
      <c r="T19" s="2"/>
      <c r="U19" s="2"/>
      <c r="V19" s="2"/>
      <c r="W19" s="2"/>
      <c r="X19" s="2"/>
      <c r="Y19" s="2"/>
    </row>
    <row r="20" spans="2:25" x14ac:dyDescent="0.35">
      <c r="B20" s="2"/>
      <c r="R20" s="14"/>
      <c r="S20" s="11"/>
      <c r="T20" s="2"/>
      <c r="U20" s="2"/>
      <c r="V20" s="2"/>
      <c r="W20" s="2"/>
      <c r="X20" s="2"/>
      <c r="Y20" s="2"/>
    </row>
    <row r="21" spans="2:25" x14ac:dyDescent="0.35">
      <c r="B21" s="2"/>
      <c r="R21" s="45"/>
      <c r="S21" s="46"/>
    </row>
    <row r="22" spans="2:25" x14ac:dyDescent="0.35">
      <c r="B22" s="2"/>
      <c r="R22" s="45"/>
      <c r="S22" s="46"/>
    </row>
    <row r="23" spans="2:25" x14ac:dyDescent="0.35">
      <c r="B23" s="2"/>
      <c r="R23" s="45"/>
      <c r="S23" s="46"/>
    </row>
    <row r="24" spans="2:25" x14ac:dyDescent="0.35">
      <c r="B24" s="2"/>
      <c r="R24" s="45"/>
      <c r="S24" s="46"/>
    </row>
    <row r="25" spans="2:25" x14ac:dyDescent="0.35">
      <c r="B25" s="2"/>
      <c r="R25" s="45"/>
      <c r="S25" s="46"/>
    </row>
    <row r="26" spans="2:25" x14ac:dyDescent="0.35">
      <c r="B26" s="2"/>
      <c r="R26" s="45"/>
      <c r="S26" s="46"/>
    </row>
    <row r="27" spans="2:25" x14ac:dyDescent="0.35">
      <c r="B27" s="2"/>
      <c r="R27" s="45"/>
      <c r="S27" s="46"/>
    </row>
    <row r="28" spans="2:25" x14ac:dyDescent="0.35">
      <c r="B28" s="2"/>
      <c r="R28" s="45"/>
      <c r="S28" s="46"/>
    </row>
    <row r="29" spans="2:25" x14ac:dyDescent="0.35">
      <c r="B29" s="2"/>
      <c r="R29" s="3"/>
    </row>
    <row r="30" spans="2:25" x14ac:dyDescent="0.35">
      <c r="B30" s="2"/>
      <c r="R30" s="3"/>
    </row>
    <row r="31" spans="2:25" x14ac:dyDescent="0.35">
      <c r="B31" s="2"/>
      <c r="R31" s="3"/>
    </row>
    <row r="32" spans="2:25" x14ac:dyDescent="0.35">
      <c r="B32" s="2"/>
      <c r="R32" s="3"/>
    </row>
    <row r="33" spans="2:18" x14ac:dyDescent="0.35">
      <c r="B33" s="2"/>
      <c r="R33" s="3"/>
    </row>
    <row r="34" spans="2:18" x14ac:dyDescent="0.35">
      <c r="B34" s="2"/>
      <c r="R34" s="3"/>
    </row>
    <row r="35" spans="2:18" x14ac:dyDescent="0.35">
      <c r="B35" s="2"/>
      <c r="R35" s="3"/>
    </row>
    <row r="36" spans="2:18" x14ac:dyDescent="0.35">
      <c r="B36" s="2"/>
    </row>
    <row r="37" spans="2:18" x14ac:dyDescent="0.35">
      <c r="B37" s="2"/>
    </row>
    <row r="38" spans="2:18" x14ac:dyDescent="0.35">
      <c r="B38" s="2"/>
    </row>
    <row r="39" spans="2:18" x14ac:dyDescent="0.35">
      <c r="B39" s="2"/>
    </row>
    <row r="40" spans="2:18" x14ac:dyDescent="0.35">
      <c r="B40" s="2"/>
    </row>
  </sheetData>
  <mergeCells count="1">
    <mergeCell ref="R10:Y10"/>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DC46-F906-4BE3-9D09-1D0ACDE02691}">
  <sheetPr codeName="Sheet2"/>
  <dimension ref="B1:G13"/>
  <sheetViews>
    <sheetView showGridLines="0" showRowColHeaders="0" workbookViewId="0">
      <pane xSplit="3" ySplit="5" topLeftCell="D6" activePane="bottomRight" state="frozen"/>
      <selection pane="topRight" activeCell="D1" sqref="D1"/>
      <selection pane="bottomLeft" activeCell="A6" sqref="A6"/>
      <selection pane="bottomRight" activeCell="E3" sqref="E3"/>
    </sheetView>
  </sheetViews>
  <sheetFormatPr defaultRowHeight="14.5" x14ac:dyDescent="0.35"/>
  <cols>
    <col min="1" max="1" width="3" style="1" customWidth="1"/>
    <col min="2" max="2" width="25" style="2" customWidth="1"/>
    <col min="3" max="3" width="1.90625" style="1" customWidth="1"/>
    <col min="4" max="4" width="9.36328125" style="1" customWidth="1"/>
    <col min="5" max="5" width="10.453125" style="1" bestFit="1" customWidth="1"/>
    <col min="6" max="6" width="17.36328125" style="1" bestFit="1" customWidth="1"/>
    <col min="7" max="7" width="14.81640625" style="1" bestFit="1" customWidth="1"/>
    <col min="8" max="16384" width="8.7265625" style="1"/>
  </cols>
  <sheetData>
    <row r="1" spans="2:7" x14ac:dyDescent="0.35">
      <c r="B1" s="1"/>
    </row>
    <row r="5" spans="2:7" x14ac:dyDescent="0.35">
      <c r="D5" s="24" t="s">
        <v>0</v>
      </c>
      <c r="E5" s="25" t="s">
        <v>78</v>
      </c>
      <c r="F5" s="25" t="s">
        <v>1</v>
      </c>
      <c r="G5" s="26" t="s">
        <v>2</v>
      </c>
    </row>
    <row r="6" spans="2:7" x14ac:dyDescent="0.35">
      <c r="D6" s="27">
        <v>101</v>
      </c>
      <c r="E6" s="28" t="s">
        <v>3</v>
      </c>
      <c r="F6" s="29" t="s">
        <v>10</v>
      </c>
      <c r="G6" s="30" t="s">
        <v>17</v>
      </c>
    </row>
    <row r="7" spans="2:7" x14ac:dyDescent="0.35">
      <c r="D7" s="27">
        <v>102</v>
      </c>
      <c r="E7" s="28" t="s">
        <v>4</v>
      </c>
      <c r="F7" s="29" t="s">
        <v>11</v>
      </c>
      <c r="G7" s="30" t="s">
        <v>17</v>
      </c>
    </row>
    <row r="8" spans="2:7" x14ac:dyDescent="0.35">
      <c r="D8" s="27">
        <v>103</v>
      </c>
      <c r="E8" s="28" t="s">
        <v>5</v>
      </c>
      <c r="F8" s="29" t="s">
        <v>12</v>
      </c>
      <c r="G8" s="30" t="s">
        <v>17</v>
      </c>
    </row>
    <row r="9" spans="2:7" x14ac:dyDescent="0.35">
      <c r="D9" s="27">
        <v>104</v>
      </c>
      <c r="E9" s="28" t="s">
        <v>6</v>
      </c>
      <c r="F9" s="29" t="s">
        <v>13</v>
      </c>
      <c r="G9" s="30" t="s">
        <v>17</v>
      </c>
    </row>
    <row r="10" spans="2:7" x14ac:dyDescent="0.35">
      <c r="D10" s="27">
        <v>105</v>
      </c>
      <c r="E10" s="28" t="s">
        <v>7</v>
      </c>
      <c r="F10" s="29" t="s">
        <v>14</v>
      </c>
      <c r="G10" s="30" t="s">
        <v>17</v>
      </c>
    </row>
    <row r="11" spans="2:7" x14ac:dyDescent="0.35">
      <c r="D11" s="27">
        <v>106</v>
      </c>
      <c r="E11" s="28" t="s">
        <v>8</v>
      </c>
      <c r="F11" s="29" t="s">
        <v>15</v>
      </c>
      <c r="G11" s="30" t="s">
        <v>17</v>
      </c>
    </row>
    <row r="12" spans="2:7" x14ac:dyDescent="0.35">
      <c r="D12" s="31">
        <v>107</v>
      </c>
      <c r="E12" s="32" t="s">
        <v>9</v>
      </c>
      <c r="F12" s="33" t="s">
        <v>16</v>
      </c>
      <c r="G12" s="34" t="s">
        <v>17</v>
      </c>
    </row>
    <row r="13" spans="2:7" x14ac:dyDescent="0.35">
      <c r="D13" s="31">
        <v>108</v>
      </c>
      <c r="E13" s="32" t="s">
        <v>107</v>
      </c>
      <c r="F13" s="33" t="s">
        <v>108</v>
      </c>
      <c r="G13" s="34" t="s">
        <v>17</v>
      </c>
    </row>
  </sheetData>
  <hyperlinks>
    <hyperlink ref="F6" r:id="rId1" xr:uid="{9C52B925-8BF6-4D1E-A575-21096D7A9577}"/>
    <hyperlink ref="F7" r:id="rId2" xr:uid="{4771BF8C-4EEA-4D11-8823-1FE3848DB98D}"/>
    <hyperlink ref="F8" r:id="rId3" xr:uid="{9E2BD5C5-D0B5-437C-AFAB-7A01E4DD7FA5}"/>
    <hyperlink ref="F9" r:id="rId4" xr:uid="{C4B21518-DC9C-4937-9649-963468A78DCA}"/>
    <hyperlink ref="F10" r:id="rId5" xr:uid="{CF364F41-ED51-41F6-A218-563CE18CA494}"/>
    <hyperlink ref="F11" r:id="rId6" xr:uid="{ED97F827-06AE-4832-B747-812F21DE0A18}"/>
    <hyperlink ref="F12" r:id="rId7" xr:uid="{CE978925-E739-4B35-964A-6BD52707690E}"/>
    <hyperlink ref="F13" r:id="rId8" xr:uid="{99258027-2FD8-4029-A4DF-CCC95264D47A}"/>
  </hyperlinks>
  <pageMargins left="0.7" right="0.7" top="0.75" bottom="0.75" header="0.3" footer="0.3"/>
  <drawing r:id="rId9"/>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2A2ED-B838-48D4-B172-30BD581D83F8}">
  <sheetPr codeName="Sheet3"/>
  <dimension ref="A1:G24"/>
  <sheetViews>
    <sheetView showGridLines="0" showRowColHeaders="0" workbookViewId="0">
      <pane xSplit="3" ySplit="5" topLeftCell="D6" activePane="bottomRight" state="frozen"/>
      <selection pane="topRight" activeCell="D1" sqref="D1"/>
      <selection pane="bottomLeft" activeCell="A6" sqref="A6"/>
      <selection pane="bottomRight" activeCell="E3" sqref="E3"/>
    </sheetView>
  </sheetViews>
  <sheetFormatPr defaultRowHeight="14.5" x14ac:dyDescent="0.35"/>
  <cols>
    <col min="1" max="1" width="3" style="1" customWidth="1"/>
    <col min="2" max="2" width="25" style="2" customWidth="1"/>
    <col min="3" max="3" width="2.26953125" style="1" customWidth="1"/>
    <col min="4" max="4" width="12.7265625" style="1" bestFit="1" customWidth="1"/>
    <col min="5" max="5" width="16.7265625" style="1" bestFit="1" customWidth="1"/>
    <col min="6" max="6" width="6.81640625" style="1" bestFit="1" customWidth="1"/>
    <col min="7" max="7" width="11.1796875" style="1" bestFit="1" customWidth="1"/>
    <col min="8" max="16384" width="8.7265625" style="1"/>
  </cols>
  <sheetData>
    <row r="1" spans="1:7" ht="15.5" x14ac:dyDescent="0.35">
      <c r="A1" s="4"/>
      <c r="B1" s="1"/>
    </row>
    <row r="5" spans="1:7" x14ac:dyDescent="0.35">
      <c r="D5" s="24" t="s">
        <v>18</v>
      </c>
      <c r="E5" s="25" t="s">
        <v>19</v>
      </c>
      <c r="F5" s="25" t="s">
        <v>20</v>
      </c>
      <c r="G5" s="26" t="s">
        <v>21</v>
      </c>
    </row>
    <row r="6" spans="1:7" x14ac:dyDescent="0.35">
      <c r="D6" s="27" t="s">
        <v>22</v>
      </c>
      <c r="E6" s="28" t="s">
        <v>32</v>
      </c>
      <c r="F6" s="28">
        <v>980</v>
      </c>
      <c r="G6" s="30">
        <v>1200</v>
      </c>
    </row>
    <row r="7" spans="1:7" x14ac:dyDescent="0.35">
      <c r="D7" s="27" t="s">
        <v>23</v>
      </c>
      <c r="E7" s="28" t="s">
        <v>33</v>
      </c>
      <c r="F7" s="28">
        <v>34500</v>
      </c>
      <c r="G7" s="30">
        <v>50000</v>
      </c>
    </row>
    <row r="8" spans="1:7" x14ac:dyDescent="0.35">
      <c r="D8" s="27" t="s">
        <v>24</v>
      </c>
      <c r="E8" s="28" t="s">
        <v>34</v>
      </c>
      <c r="F8" s="28">
        <v>35650</v>
      </c>
      <c r="G8" s="30">
        <v>55000</v>
      </c>
    </row>
    <row r="9" spans="1:7" x14ac:dyDescent="0.35">
      <c r="D9" s="27" t="s">
        <v>25</v>
      </c>
      <c r="E9" s="28" t="s">
        <v>35</v>
      </c>
      <c r="F9" s="28">
        <v>21000</v>
      </c>
      <c r="G9" s="30">
        <v>35000</v>
      </c>
    </row>
    <row r="10" spans="1:7" x14ac:dyDescent="0.35">
      <c r="D10" s="27" t="s">
        <v>26</v>
      </c>
      <c r="E10" s="28" t="s">
        <v>36</v>
      </c>
      <c r="F10" s="28">
        <v>550</v>
      </c>
      <c r="G10" s="30">
        <v>1100</v>
      </c>
    </row>
    <row r="11" spans="1:7" x14ac:dyDescent="0.35">
      <c r="D11" s="27" t="s">
        <v>27</v>
      </c>
      <c r="E11" s="28" t="s">
        <v>37</v>
      </c>
      <c r="F11" s="28">
        <v>1250</v>
      </c>
      <c r="G11" s="30">
        <v>2000</v>
      </c>
    </row>
    <row r="12" spans="1:7" x14ac:dyDescent="0.35">
      <c r="D12" s="27" t="s">
        <v>28</v>
      </c>
      <c r="E12" s="28" t="s">
        <v>38</v>
      </c>
      <c r="F12" s="28">
        <v>52000</v>
      </c>
      <c r="G12" s="30">
        <v>75000</v>
      </c>
    </row>
    <row r="13" spans="1:7" x14ac:dyDescent="0.35">
      <c r="D13" s="27" t="s">
        <v>29</v>
      </c>
      <c r="E13" s="28" t="s">
        <v>39</v>
      </c>
      <c r="F13" s="28">
        <v>790</v>
      </c>
      <c r="G13" s="30">
        <v>1800</v>
      </c>
    </row>
    <row r="14" spans="1:7" x14ac:dyDescent="0.35">
      <c r="D14" s="27" t="s">
        <v>30</v>
      </c>
      <c r="E14" s="28" t="s">
        <v>40</v>
      </c>
      <c r="F14" s="28">
        <v>1750</v>
      </c>
      <c r="G14" s="30">
        <v>3500</v>
      </c>
    </row>
    <row r="15" spans="1:7" x14ac:dyDescent="0.35">
      <c r="D15" s="27" t="s">
        <v>31</v>
      </c>
      <c r="E15" s="28" t="s">
        <v>41</v>
      </c>
      <c r="F15" s="28">
        <v>23500</v>
      </c>
      <c r="G15" s="30">
        <v>45000</v>
      </c>
    </row>
    <row r="16" spans="1:7" x14ac:dyDescent="0.35">
      <c r="D16" s="27" t="s">
        <v>64</v>
      </c>
      <c r="E16" s="28" t="s">
        <v>65</v>
      </c>
      <c r="F16" s="28">
        <v>1250</v>
      </c>
      <c r="G16" s="30">
        <v>2500</v>
      </c>
    </row>
    <row r="17" spans="4:7" x14ac:dyDescent="0.35">
      <c r="D17" s="27" t="s">
        <v>66</v>
      </c>
      <c r="E17" s="28" t="s">
        <v>67</v>
      </c>
      <c r="F17" s="28">
        <v>2500</v>
      </c>
      <c r="G17" s="30">
        <v>4000</v>
      </c>
    </row>
    <row r="18" spans="4:7" x14ac:dyDescent="0.35">
      <c r="D18" s="27" t="s">
        <v>71</v>
      </c>
      <c r="E18" s="28" t="s">
        <v>73</v>
      </c>
      <c r="F18" s="28">
        <v>150000</v>
      </c>
      <c r="G18" s="30">
        <v>250000</v>
      </c>
    </row>
    <row r="19" spans="4:7" x14ac:dyDescent="0.35">
      <c r="D19" s="27" t="s">
        <v>72</v>
      </c>
      <c r="E19" s="28" t="s">
        <v>74</v>
      </c>
      <c r="F19" s="28">
        <v>450</v>
      </c>
      <c r="G19" s="30">
        <v>1000</v>
      </c>
    </row>
    <row r="20" spans="4:7" x14ac:dyDescent="0.35">
      <c r="D20" s="27" t="s">
        <v>85</v>
      </c>
      <c r="E20" s="28" t="s">
        <v>86</v>
      </c>
      <c r="F20" s="28">
        <v>25000</v>
      </c>
      <c r="G20" s="30">
        <v>45000</v>
      </c>
    </row>
    <row r="21" spans="4:7" x14ac:dyDescent="0.35">
      <c r="D21" s="31" t="s">
        <v>88</v>
      </c>
      <c r="E21" s="32" t="s">
        <v>89</v>
      </c>
      <c r="F21" s="32">
        <v>120</v>
      </c>
      <c r="G21" s="34">
        <v>250</v>
      </c>
    </row>
    <row r="22" spans="4:7" x14ac:dyDescent="0.35">
      <c r="D22" s="31" t="s">
        <v>109</v>
      </c>
      <c r="E22" s="32" t="s">
        <v>110</v>
      </c>
      <c r="F22" s="32">
        <v>120000</v>
      </c>
      <c r="G22" s="34">
        <v>150000</v>
      </c>
    </row>
    <row r="23" spans="4:7" x14ac:dyDescent="0.35">
      <c r="D23" s="31" t="s">
        <v>113</v>
      </c>
      <c r="E23" s="32" t="s">
        <v>114</v>
      </c>
      <c r="F23" s="32">
        <v>130000</v>
      </c>
      <c r="G23" s="34">
        <v>165000</v>
      </c>
    </row>
    <row r="24" spans="4:7" x14ac:dyDescent="0.35">
      <c r="D24" s="31" t="s">
        <v>116</v>
      </c>
      <c r="E24" s="32" t="s">
        <v>117</v>
      </c>
      <c r="F24" s="32">
        <v>800</v>
      </c>
      <c r="G24" s="34">
        <v>2400</v>
      </c>
    </row>
  </sheetData>
  <phoneticPr fontId="3" type="noConversion"/>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FAE9-1F6A-46CA-817E-4CAA0F17BE6D}">
  <sheetPr codeName="Sheet4"/>
  <dimension ref="B1:H23"/>
  <sheetViews>
    <sheetView showGridLines="0" showRowColHeaders="0" workbookViewId="0">
      <pane xSplit="3" ySplit="5" topLeftCell="D6" activePane="bottomRight" state="frozen"/>
      <selection pane="topRight" activeCell="D1" sqref="D1"/>
      <selection pane="bottomLeft" activeCell="A6" sqref="A6"/>
      <selection pane="bottomRight" activeCell="E3" sqref="E3"/>
    </sheetView>
  </sheetViews>
  <sheetFormatPr defaultRowHeight="14.5" x14ac:dyDescent="0.35"/>
  <cols>
    <col min="1" max="1" width="3" style="1" customWidth="1"/>
    <col min="2" max="2" width="25" style="2" customWidth="1"/>
    <col min="3" max="3" width="2.26953125" style="1" customWidth="1"/>
    <col min="4" max="4" width="14.7265625" style="1" customWidth="1"/>
    <col min="5" max="6" width="15.36328125" style="1" customWidth="1"/>
    <col min="7" max="7" width="12.08984375" style="1" bestFit="1" customWidth="1"/>
    <col min="8" max="8" width="15.36328125" style="1" bestFit="1" customWidth="1"/>
    <col min="9" max="16384" width="8.7265625" style="1"/>
  </cols>
  <sheetData>
    <row r="1" spans="2:8" x14ac:dyDescent="0.35">
      <c r="B1" s="1"/>
    </row>
    <row r="5" spans="2:8" x14ac:dyDescent="0.35">
      <c r="D5" s="35" t="s">
        <v>18</v>
      </c>
      <c r="E5" s="36" t="s">
        <v>19</v>
      </c>
      <c r="F5" s="25" t="s">
        <v>42</v>
      </c>
      <c r="G5" s="25" t="s">
        <v>53</v>
      </c>
      <c r="H5" s="26" t="s">
        <v>2</v>
      </c>
    </row>
    <row r="6" spans="2:8" x14ac:dyDescent="0.35">
      <c r="D6" s="27" t="s">
        <v>22</v>
      </c>
      <c r="E6" s="28" t="s">
        <v>32</v>
      </c>
      <c r="F6" s="28" t="s">
        <v>43</v>
      </c>
      <c r="G6" s="28" t="s">
        <v>54</v>
      </c>
      <c r="H6" s="30" t="s">
        <v>57</v>
      </c>
    </row>
    <row r="7" spans="2:8" x14ac:dyDescent="0.35">
      <c r="D7" s="27" t="s">
        <v>23</v>
      </c>
      <c r="E7" s="28" t="s">
        <v>33</v>
      </c>
      <c r="F7" s="28" t="s">
        <v>44</v>
      </c>
      <c r="G7" s="28" t="s">
        <v>54</v>
      </c>
      <c r="H7" s="30" t="s">
        <v>57</v>
      </c>
    </row>
    <row r="8" spans="2:8" x14ac:dyDescent="0.35">
      <c r="D8" s="27" t="s">
        <v>24</v>
      </c>
      <c r="E8" s="28" t="s">
        <v>34</v>
      </c>
      <c r="F8" s="28" t="s">
        <v>45</v>
      </c>
      <c r="G8" s="28" t="s">
        <v>54</v>
      </c>
      <c r="H8" s="30" t="s">
        <v>57</v>
      </c>
    </row>
    <row r="9" spans="2:8" x14ac:dyDescent="0.35">
      <c r="D9" s="27" t="s">
        <v>25</v>
      </c>
      <c r="E9" s="28" t="s">
        <v>35</v>
      </c>
      <c r="F9" s="28" t="s">
        <v>46</v>
      </c>
      <c r="G9" s="28" t="s">
        <v>55</v>
      </c>
      <c r="H9" s="30" t="s">
        <v>57</v>
      </c>
    </row>
    <row r="10" spans="2:8" x14ac:dyDescent="0.35">
      <c r="D10" s="27" t="s">
        <v>26</v>
      </c>
      <c r="E10" s="28" t="s">
        <v>36</v>
      </c>
      <c r="F10" s="28" t="s">
        <v>47</v>
      </c>
      <c r="G10" s="28" t="s">
        <v>55</v>
      </c>
      <c r="H10" s="30" t="s">
        <v>57</v>
      </c>
    </row>
    <row r="11" spans="2:8" x14ac:dyDescent="0.35">
      <c r="D11" s="27" t="s">
        <v>27</v>
      </c>
      <c r="E11" s="28" t="s">
        <v>37</v>
      </c>
      <c r="F11" s="28" t="s">
        <v>48</v>
      </c>
      <c r="G11" s="28" t="s">
        <v>55</v>
      </c>
      <c r="H11" s="30" t="s">
        <v>57</v>
      </c>
    </row>
    <row r="12" spans="2:8" x14ac:dyDescent="0.35">
      <c r="D12" s="27" t="s">
        <v>28</v>
      </c>
      <c r="E12" s="28" t="s">
        <v>38</v>
      </c>
      <c r="F12" s="28" t="s">
        <v>49</v>
      </c>
      <c r="G12" s="28" t="s">
        <v>55</v>
      </c>
      <c r="H12" s="30" t="s">
        <v>57</v>
      </c>
    </row>
    <row r="13" spans="2:8" x14ac:dyDescent="0.35">
      <c r="D13" s="27" t="s">
        <v>29</v>
      </c>
      <c r="E13" s="28" t="s">
        <v>39</v>
      </c>
      <c r="F13" s="28" t="s">
        <v>50</v>
      </c>
      <c r="G13" s="28" t="s">
        <v>56</v>
      </c>
      <c r="H13" s="30" t="s">
        <v>57</v>
      </c>
    </row>
    <row r="14" spans="2:8" x14ac:dyDescent="0.35">
      <c r="D14" s="27" t="s">
        <v>30</v>
      </c>
      <c r="E14" s="28" t="s">
        <v>40</v>
      </c>
      <c r="F14" s="28" t="s">
        <v>51</v>
      </c>
      <c r="G14" s="28" t="s">
        <v>56</v>
      </c>
      <c r="H14" s="30" t="s">
        <v>57</v>
      </c>
    </row>
    <row r="15" spans="2:8" x14ac:dyDescent="0.35">
      <c r="D15" s="27" t="s">
        <v>31</v>
      </c>
      <c r="E15" s="28" t="s">
        <v>41</v>
      </c>
      <c r="F15" s="28" t="s">
        <v>52</v>
      </c>
      <c r="G15" s="28" t="s">
        <v>56</v>
      </c>
      <c r="H15" s="30" t="s">
        <v>57</v>
      </c>
    </row>
    <row r="16" spans="2:8" x14ac:dyDescent="0.35">
      <c r="D16" s="27" t="s">
        <v>64</v>
      </c>
      <c r="E16" s="28" t="s">
        <v>65</v>
      </c>
      <c r="F16" s="28" t="s">
        <v>68</v>
      </c>
      <c r="G16" s="28" t="s">
        <v>70</v>
      </c>
      <c r="H16" s="30" t="s">
        <v>57</v>
      </c>
    </row>
    <row r="17" spans="4:8" x14ac:dyDescent="0.35">
      <c r="D17" s="27" t="s">
        <v>66</v>
      </c>
      <c r="E17" s="28" t="s">
        <v>67</v>
      </c>
      <c r="F17" s="28" t="s">
        <v>69</v>
      </c>
      <c r="G17" s="28" t="s">
        <v>70</v>
      </c>
      <c r="H17" s="30" t="s">
        <v>57</v>
      </c>
    </row>
    <row r="18" spans="4:8" x14ac:dyDescent="0.35">
      <c r="D18" s="27" t="s">
        <v>71</v>
      </c>
      <c r="E18" s="28" t="s">
        <v>73</v>
      </c>
      <c r="F18" s="28" t="s">
        <v>75</v>
      </c>
      <c r="G18" s="28" t="s">
        <v>77</v>
      </c>
      <c r="H18" s="30" t="s">
        <v>57</v>
      </c>
    </row>
    <row r="19" spans="4:8" x14ac:dyDescent="0.35">
      <c r="D19" s="27" t="s">
        <v>72</v>
      </c>
      <c r="E19" s="28" t="s">
        <v>74</v>
      </c>
      <c r="F19" s="28" t="s">
        <v>76</v>
      </c>
      <c r="G19" s="28" t="s">
        <v>77</v>
      </c>
      <c r="H19" s="30" t="s">
        <v>57</v>
      </c>
    </row>
    <row r="20" spans="4:8" x14ac:dyDescent="0.35">
      <c r="D20" s="27" t="s">
        <v>85</v>
      </c>
      <c r="E20" s="28" t="s">
        <v>86</v>
      </c>
      <c r="F20" s="28" t="s">
        <v>87</v>
      </c>
      <c r="G20" s="28" t="s">
        <v>77</v>
      </c>
      <c r="H20" s="30" t="s">
        <v>57</v>
      </c>
    </row>
    <row r="21" spans="4:8" x14ac:dyDescent="0.35">
      <c r="D21" s="31" t="s">
        <v>88</v>
      </c>
      <c r="E21" s="32" t="s">
        <v>89</v>
      </c>
      <c r="F21" s="32" t="s">
        <v>87</v>
      </c>
      <c r="G21" s="32" t="s">
        <v>77</v>
      </c>
      <c r="H21" s="34" t="s">
        <v>57</v>
      </c>
    </row>
    <row r="22" spans="4:8" x14ac:dyDescent="0.35">
      <c r="D22" s="31" t="s">
        <v>109</v>
      </c>
      <c r="E22" s="32" t="s">
        <v>110</v>
      </c>
      <c r="F22" s="32" t="s">
        <v>111</v>
      </c>
      <c r="G22" s="32" t="s">
        <v>112</v>
      </c>
      <c r="H22" s="34" t="s">
        <v>57</v>
      </c>
    </row>
    <row r="23" spans="4:8" x14ac:dyDescent="0.35">
      <c r="D23" s="31" t="s">
        <v>113</v>
      </c>
      <c r="E23" s="32" t="s">
        <v>114</v>
      </c>
      <c r="F23" s="32" t="s">
        <v>115</v>
      </c>
      <c r="G23" s="32" t="s">
        <v>112</v>
      </c>
      <c r="H23" s="34" t="s">
        <v>57</v>
      </c>
    </row>
  </sheetData>
  <phoneticPr fontId="3"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FDD8-44B2-4CDA-A0DF-B19A3BE9ED04}">
  <sheetPr codeName="Sheet5"/>
  <dimension ref="B1:K11"/>
  <sheetViews>
    <sheetView showGridLines="0" showRowColHeaders="0" zoomScaleNormal="100" workbookViewId="0">
      <selection activeCell="E3" sqref="E3"/>
    </sheetView>
  </sheetViews>
  <sheetFormatPr defaultRowHeight="14.5" x14ac:dyDescent="0.35"/>
  <cols>
    <col min="1" max="1" width="3" style="1" customWidth="1"/>
    <col min="2" max="2" width="25" style="2" customWidth="1"/>
    <col min="3" max="3" width="2.1796875" style="1" customWidth="1"/>
    <col min="4" max="4" width="15.90625" style="1" bestFit="1" customWidth="1"/>
    <col min="5" max="5" width="21" style="1" bestFit="1" customWidth="1"/>
    <col min="6" max="6" width="15.90625" style="1" bestFit="1" customWidth="1"/>
    <col min="7" max="8" width="16.6328125" style="1" bestFit="1" customWidth="1"/>
    <col min="9" max="9" width="16.7265625" style="1" bestFit="1" customWidth="1"/>
    <col min="10" max="10" width="13.54296875" style="1" bestFit="1" customWidth="1"/>
    <col min="11" max="11" width="12.90625" style="1" bestFit="1" customWidth="1"/>
    <col min="12" max="12" width="11.54296875" style="1" customWidth="1"/>
    <col min="13" max="13" width="13.36328125" style="1" customWidth="1"/>
    <col min="14" max="16384" width="8.7265625" style="1"/>
  </cols>
  <sheetData>
    <row r="1" spans="2:11" x14ac:dyDescent="0.35">
      <c r="B1" s="1"/>
    </row>
    <row r="5" spans="2:11" ht="28.5" x14ac:dyDescent="0.65">
      <c r="D5" s="53" t="s">
        <v>58</v>
      </c>
      <c r="E5" s="53"/>
      <c r="F5" s="53"/>
      <c r="H5" s="53" t="s">
        <v>59</v>
      </c>
      <c r="I5" s="53"/>
      <c r="J5" s="53"/>
      <c r="K5" s="53"/>
    </row>
    <row r="11" spans="2:11" ht="17" customHeight="1" x14ac:dyDescent="0.35"/>
  </sheetData>
  <mergeCells count="2">
    <mergeCell ref="D5:F5"/>
    <mergeCell ref="H5:K5"/>
  </mergeCells>
  <dataValidations count="2">
    <dataValidation type="list" allowBlank="1" showInputMessage="1" showErrorMessage="1" sqref="F18 G22" xr:uid="{B9C33229-E0B4-4E73-8691-FA26D3F8DC89}">
      <formula1>CodeP</formula1>
    </dataValidation>
    <dataValidation type="list" allowBlank="1" showInputMessage="1" showErrorMessage="1" sqref="E22" xr:uid="{F388B1DF-0B78-4741-8BD8-408BFB22EE2E}">
      <formula1>Cust_ID</formula1>
    </dataValidation>
  </dataValidations>
  <hyperlinks>
    <hyperlink ref="D5" location="PURCHASE!A1" display="Prchase_Entry" xr:uid="{D4D5E23C-80AF-4D02-A367-E53134BC5477}"/>
    <hyperlink ref="H5" location="SALES!A1" display="Sales_Entry" xr:uid="{3C7CF94C-1BFC-4616-900E-51742E1871A6}"/>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DF39-2B14-40F2-B1B8-225DA3032D61}">
  <sheetPr codeName="Sheet6"/>
  <dimension ref="B1:J24"/>
  <sheetViews>
    <sheetView showGridLines="0" showRowColHeaders="0" workbookViewId="0">
      <pane xSplit="3" ySplit="5" topLeftCell="D6" activePane="bottomRight" state="frozen"/>
      <selection pane="topRight" activeCell="D1" sqref="D1"/>
      <selection pane="bottomLeft" activeCell="A6" sqref="A6"/>
      <selection pane="bottomRight" activeCell="E3" sqref="E3"/>
    </sheetView>
  </sheetViews>
  <sheetFormatPr defaultRowHeight="14.5" x14ac:dyDescent="0.35"/>
  <cols>
    <col min="1" max="1" width="3" style="1" customWidth="1"/>
    <col min="2" max="2" width="25" style="2" customWidth="1"/>
    <col min="3" max="3" width="2.1796875" style="1" customWidth="1"/>
    <col min="4" max="4" width="14.7265625" style="1" customWidth="1"/>
    <col min="5" max="5" width="15.36328125" style="1" customWidth="1"/>
    <col min="6" max="6" width="10.26953125" style="1" customWidth="1"/>
    <col min="7" max="7" width="10.453125" style="1" customWidth="1"/>
    <col min="8" max="9" width="9.453125" style="1" customWidth="1"/>
    <col min="10" max="10" width="10.1796875" style="1" customWidth="1"/>
    <col min="11" max="16384" width="8.7265625" style="1"/>
  </cols>
  <sheetData>
    <row r="1" spans="2:10" x14ac:dyDescent="0.35">
      <c r="B1" s="1"/>
    </row>
    <row r="5" spans="2:10" x14ac:dyDescent="0.35">
      <c r="D5" s="35" t="s">
        <v>18</v>
      </c>
      <c r="E5" s="36" t="s">
        <v>19</v>
      </c>
      <c r="F5" s="36" t="s">
        <v>60</v>
      </c>
      <c r="G5" s="36" t="s">
        <v>61</v>
      </c>
      <c r="H5" s="36" t="s">
        <v>62</v>
      </c>
      <c r="I5" s="36" t="s">
        <v>20</v>
      </c>
      <c r="J5" s="37" t="s">
        <v>63</v>
      </c>
    </row>
    <row r="6" spans="2:10" x14ac:dyDescent="0.35">
      <c r="D6" s="27" t="s">
        <v>64</v>
      </c>
      <c r="E6" s="28" t="str">
        <f>IFERROR(VLOOKUP(PURCHASE!$D6,Table2[#All],2,0),"")</f>
        <v>Adopter</v>
      </c>
      <c r="F6" s="28" t="str">
        <f>IFERROR(VLOOKUP(PURCHASE!$D6,Table3[#All],3,0),"")</f>
        <v>Affan</v>
      </c>
      <c r="G6" s="38">
        <v>45936</v>
      </c>
      <c r="H6" s="28">
        <v>10</v>
      </c>
      <c r="I6" s="28">
        <f>IFERROR(VLOOKUP(PURCHASE!$D6,Table2[#All],3,0),"")</f>
        <v>1250</v>
      </c>
      <c r="J6" s="30">
        <f>Table4[[#This Row],[Units]]*Table4[[#This Row],[Cost]]</f>
        <v>12500</v>
      </c>
    </row>
    <row r="7" spans="2:10" x14ac:dyDescent="0.35">
      <c r="D7" s="27" t="s">
        <v>71</v>
      </c>
      <c r="E7" s="28" t="str">
        <f>IFERROR(VLOOKUP(PURCHASE!$D7,Table2[#All],2,0),"")</f>
        <v>Macbook</v>
      </c>
      <c r="F7" s="28" t="str">
        <f>IFERROR(VLOOKUP(PURCHASE!$D7,Table3[#All],3,0),"")</f>
        <v>Sarim</v>
      </c>
      <c r="G7" s="38">
        <v>45937</v>
      </c>
      <c r="H7" s="28">
        <v>25</v>
      </c>
      <c r="I7" s="28">
        <f>IFERROR(VLOOKUP(PURCHASE!$D7,Table2[#All],3,0),"")</f>
        <v>150000</v>
      </c>
      <c r="J7" s="30">
        <f>Table4[[#This Row],[Units]]*Table4[[#This Row],[Cost]]</f>
        <v>3750000</v>
      </c>
    </row>
    <row r="8" spans="2:10" x14ac:dyDescent="0.35">
      <c r="D8" s="27" t="s">
        <v>72</v>
      </c>
      <c r="E8" s="28" t="str">
        <f>IFERROR(VLOOKUP(PURCHASE!$D8,Table2[#All],2,0),"")</f>
        <v>Charger</v>
      </c>
      <c r="F8" s="28" t="str">
        <f>IFERROR(VLOOKUP(PURCHASE!$D8,Table3[#All],3,0),"")</f>
        <v>Rayyan</v>
      </c>
      <c r="G8" s="38">
        <v>45939</v>
      </c>
      <c r="H8" s="28">
        <v>50</v>
      </c>
      <c r="I8" s="28">
        <f>IFERROR(VLOOKUP(PURCHASE!$D8,Table2[#All],3,0),"")</f>
        <v>450</v>
      </c>
      <c r="J8" s="30">
        <f>Table4[[#This Row],[Units]]*Table4[[#This Row],[Cost]]</f>
        <v>22500</v>
      </c>
    </row>
    <row r="9" spans="2:10" x14ac:dyDescent="0.35">
      <c r="D9" s="27" t="s">
        <v>25</v>
      </c>
      <c r="E9" s="28" t="str">
        <f>IFERROR(VLOOKUP(PURCHASE!$D9,Table2[#All],2,0),"")</f>
        <v>Desktop</v>
      </c>
      <c r="F9" s="28" t="str">
        <f>IFERROR(VLOOKUP(PURCHASE!$D9,Table3[#All],3,0),"")</f>
        <v>Kareem</v>
      </c>
      <c r="G9" s="38">
        <v>45940</v>
      </c>
      <c r="H9" s="28">
        <v>10</v>
      </c>
      <c r="I9" s="28">
        <f>IFERROR(VLOOKUP(PURCHASE!$D9,Table2[#All],3,0),"")</f>
        <v>21000</v>
      </c>
      <c r="J9" s="30">
        <f>Table4[[#This Row],[Units]]*Table4[[#This Row],[Cost]]</f>
        <v>210000</v>
      </c>
    </row>
    <row r="10" spans="2:10" x14ac:dyDescent="0.35">
      <c r="D10" s="27" t="s">
        <v>23</v>
      </c>
      <c r="E10" s="28" t="str">
        <f>IFERROR(VLOOKUP(PURCHASE!$D10,Table2[#All],2,0),"")</f>
        <v>Laptop HP</v>
      </c>
      <c r="F10" s="28" t="str">
        <f>IFERROR(VLOOKUP(PURCHASE!$D10,Table3[#All],3,0),"")</f>
        <v>Hanif</v>
      </c>
      <c r="G10" s="38">
        <v>45936</v>
      </c>
      <c r="H10" s="28">
        <v>15</v>
      </c>
      <c r="I10" s="28">
        <f>IFERROR(VLOOKUP(PURCHASE!$D10,Table2[#All],3,0),"")</f>
        <v>34500</v>
      </c>
      <c r="J10" s="30">
        <f>Table4[[#This Row],[Units]]*Table4[[#This Row],[Cost]]</f>
        <v>517500</v>
      </c>
    </row>
    <row r="11" spans="2:10" x14ac:dyDescent="0.35">
      <c r="D11" s="27" t="s">
        <v>26</v>
      </c>
      <c r="E11" s="28" t="str">
        <f>IFERROR(VLOOKUP(PURCHASE!$D11,Table2[#All],2,0),"")</f>
        <v>Mouse</v>
      </c>
      <c r="F11" s="28" t="str">
        <f>IFERROR(VLOOKUP(PURCHASE!$D11,Table3[#All],3,0),"")</f>
        <v>Hammad</v>
      </c>
      <c r="G11" s="38">
        <v>45937</v>
      </c>
      <c r="H11" s="28">
        <v>25</v>
      </c>
      <c r="I11" s="28">
        <f>IFERROR(VLOOKUP(PURCHASE!$D11,Table2[#All],3,0),"")</f>
        <v>550</v>
      </c>
      <c r="J11" s="30">
        <f>Table4[[#This Row],[Units]]*Table4[[#This Row],[Cost]]</f>
        <v>13750</v>
      </c>
    </row>
    <row r="12" spans="2:10" x14ac:dyDescent="0.35">
      <c r="D12" s="27" t="s">
        <v>27</v>
      </c>
      <c r="E12" s="28" t="str">
        <f>IFERROR(VLOOKUP(PURCHASE!$D12,Table2[#All],2,0),"")</f>
        <v>Rgb Keyboard</v>
      </c>
      <c r="F12" s="28" t="str">
        <f>IFERROR(VLOOKUP(PURCHASE!$D12,Table3[#All],3,0),"")</f>
        <v>Yasir</v>
      </c>
      <c r="G12" s="38">
        <v>45939</v>
      </c>
      <c r="H12" s="28">
        <v>32</v>
      </c>
      <c r="I12" s="28">
        <f>IFERROR(VLOOKUP(PURCHASE!$D12,Table2[#All],3,0),"")</f>
        <v>1250</v>
      </c>
      <c r="J12" s="30">
        <f>Table4[[#This Row],[Units]]*Table4[[#This Row],[Cost]]</f>
        <v>40000</v>
      </c>
    </row>
    <row r="13" spans="2:10" x14ac:dyDescent="0.35">
      <c r="D13" s="27" t="s">
        <v>22</v>
      </c>
      <c r="E13" s="28" t="str">
        <f>IFERROR(VLOOKUP(PURCHASE!$D13,Table2[#All],2,0),"")</f>
        <v>Smart Watch</v>
      </c>
      <c r="F13" s="28" t="str">
        <f>IFERROR(VLOOKUP(PURCHASE!$D13,Table3[#All],3,0),"")</f>
        <v>Wahaj</v>
      </c>
      <c r="G13" s="38">
        <v>45940</v>
      </c>
      <c r="H13" s="28">
        <v>60</v>
      </c>
      <c r="I13" s="28">
        <f>IFERROR(VLOOKUP(PURCHASE!$D13,Table2[#All],3,0),"")</f>
        <v>980</v>
      </c>
      <c r="J13" s="30">
        <f>Table4[[#This Row],[Units]]*Table4[[#This Row],[Cost]]</f>
        <v>58800</v>
      </c>
    </row>
    <row r="14" spans="2:10" x14ac:dyDescent="0.35">
      <c r="D14" s="27" t="s">
        <v>24</v>
      </c>
      <c r="E14" s="28" t="str">
        <f>IFERROR(VLOOKUP(PURCHASE!$D14,Table2[#All],2,0),"")</f>
        <v>Wireless Printer</v>
      </c>
      <c r="F14" s="28" t="str">
        <f>IFERROR(VLOOKUP(PURCHASE!$D14,Table3[#All],3,0),"")</f>
        <v>Fahad</v>
      </c>
      <c r="G14" s="38">
        <v>45936</v>
      </c>
      <c r="H14" s="28">
        <v>12</v>
      </c>
      <c r="I14" s="28">
        <f>IFERROR(VLOOKUP(PURCHASE!$D14,Table2[#All],3,0),"")</f>
        <v>35650</v>
      </c>
      <c r="J14" s="30">
        <f>Table4[[#This Row],[Units]]*Table4[[#This Row],[Cost]]</f>
        <v>427800</v>
      </c>
    </row>
    <row r="15" spans="2:10" x14ac:dyDescent="0.35">
      <c r="D15" s="27" t="s">
        <v>29</v>
      </c>
      <c r="E15" s="39" t="str">
        <f>IFERROR(VLOOKUP(PURCHASE!$D15,Table2[#All],2,0),"")</f>
        <v>Headphone</v>
      </c>
      <c r="F15" s="28" t="str">
        <f>IFERROR(VLOOKUP(PURCHASE!$D15,Table3[#All],3,0),"")</f>
        <v>Faizan</v>
      </c>
      <c r="G15" s="38">
        <v>45937</v>
      </c>
      <c r="H15" s="28">
        <v>35</v>
      </c>
      <c r="I15" s="28">
        <f>IFERROR(VLOOKUP(PURCHASE!$D15,Table2[#All],3,0),"")</f>
        <v>790</v>
      </c>
      <c r="J15" s="30">
        <f>Table4[[#This Row],[Units]]*Table4[[#This Row],[Cost]]</f>
        <v>27650</v>
      </c>
    </row>
    <row r="16" spans="2:10" x14ac:dyDescent="0.35">
      <c r="D16" s="27" t="s">
        <v>31</v>
      </c>
      <c r="E16" s="28" t="str">
        <f>IFERROR(VLOOKUP(PURCHASE!$D16,Table2[#All],2,0),"")</f>
        <v>Tablets</v>
      </c>
      <c r="F16" s="28" t="str">
        <f>IFERROR(VLOOKUP(PURCHASE!$D16,Table3[#All],3,0),"")</f>
        <v>Saad</v>
      </c>
      <c r="G16" s="38">
        <v>45939</v>
      </c>
      <c r="H16" s="28">
        <v>23</v>
      </c>
      <c r="I16" s="28">
        <f>IFERROR(VLOOKUP(PURCHASE!$D16,Table2[#All],3,0),"")</f>
        <v>23500</v>
      </c>
      <c r="J16" s="30">
        <f>Table4[[#This Row],[Units]]*Table4[[#This Row],[Cost]]</f>
        <v>540500</v>
      </c>
    </row>
    <row r="17" spans="4:10" x14ac:dyDescent="0.35">
      <c r="D17" s="27" t="s">
        <v>28</v>
      </c>
      <c r="E17" s="28" t="str">
        <f>IFERROR(VLOOKUP(PURCHASE!$D17,Table2[#All],2,0),"")</f>
        <v>Camera</v>
      </c>
      <c r="F17" s="28" t="str">
        <f>IFERROR(VLOOKUP(PURCHASE!$D17,Table3[#All],3,0),"")</f>
        <v>Tahir</v>
      </c>
      <c r="G17" s="38">
        <v>45940</v>
      </c>
      <c r="H17" s="28">
        <v>20</v>
      </c>
      <c r="I17" s="28">
        <f>IFERROR(VLOOKUP(PURCHASE!$D17,Table2[#All],3,0),"")</f>
        <v>52000</v>
      </c>
      <c r="J17" s="30">
        <f>Table4[[#This Row],[Units]]*Table4[[#This Row],[Cost]]</f>
        <v>1040000</v>
      </c>
    </row>
    <row r="18" spans="4:10" x14ac:dyDescent="0.35">
      <c r="D18" s="27" t="s">
        <v>30</v>
      </c>
      <c r="E18" s="28" t="str">
        <f>IFERROR(VLOOKUP(PURCHASE!$D18,Table2[#All],2,0),"")</f>
        <v>Speakers</v>
      </c>
      <c r="F18" s="28" t="str">
        <f>IFERROR(VLOOKUP(PURCHASE!$D18,Table3[#All],3,0),"")</f>
        <v>Rashid</v>
      </c>
      <c r="G18" s="38">
        <v>45936</v>
      </c>
      <c r="H18" s="28">
        <v>14</v>
      </c>
      <c r="I18" s="28">
        <f>IFERROR(VLOOKUP(PURCHASE!$D18,Table2[#All],3,0),"")</f>
        <v>1750</v>
      </c>
      <c r="J18" s="30">
        <f>Table4[[#This Row],[Units]]*Table4[[#This Row],[Cost]]</f>
        <v>24500</v>
      </c>
    </row>
    <row r="19" spans="4:10" x14ac:dyDescent="0.35">
      <c r="D19" s="27" t="s">
        <v>66</v>
      </c>
      <c r="E19" s="28" t="str">
        <f>IFERROR(VLOOKUP(PURCHASE!$D19,Table2[#All],2,0),"")</f>
        <v>Wireless Mouse</v>
      </c>
      <c r="F19" s="28" t="str">
        <f>IFERROR(VLOOKUP(PURCHASE!$D19,Table3[#All],3,0),"")</f>
        <v>Farhan</v>
      </c>
      <c r="G19" s="38">
        <v>45937</v>
      </c>
      <c r="H19" s="28">
        <v>57</v>
      </c>
      <c r="I19" s="28">
        <f>IFERROR(VLOOKUP(PURCHASE!$D19,Table2[#All],3,0),"")</f>
        <v>2500</v>
      </c>
      <c r="J19" s="30">
        <f>Table4[[#This Row],[Units]]*Table4[[#This Row],[Cost]]</f>
        <v>142500</v>
      </c>
    </row>
    <row r="20" spans="4:10" x14ac:dyDescent="0.35">
      <c r="D20" s="27" t="s">
        <v>85</v>
      </c>
      <c r="E20" s="28" t="str">
        <f>IFERROR(VLOOKUP(PURCHASE!$D20,Table2[#All],2,0),"")</f>
        <v>Apple Watch</v>
      </c>
      <c r="F20" s="28" t="str">
        <f>IFERROR(VLOOKUP(PURCHASE!$D20,Table3[#All],3,0),"")</f>
        <v>Taimur</v>
      </c>
      <c r="G20" s="38">
        <v>45937</v>
      </c>
      <c r="H20" s="28">
        <v>25</v>
      </c>
      <c r="I20" s="28">
        <f>IFERROR(VLOOKUP(PURCHASE!$D20,Table2[#All],3,0),"")</f>
        <v>25000</v>
      </c>
      <c r="J20" s="30">
        <f>Table4[[#This Row],[Units]]*Table4[[#This Row],[Cost]]</f>
        <v>625000</v>
      </c>
    </row>
    <row r="21" spans="4:10" x14ac:dyDescent="0.35">
      <c r="D21" s="31" t="s">
        <v>88</v>
      </c>
      <c r="E21" s="32" t="str">
        <f>IFERROR(VLOOKUP(PURCHASE!$D21,Table2[#All],2,0),"")</f>
        <v>Lightening Cable</v>
      </c>
      <c r="F21" s="32" t="str">
        <f>IFERROR(VLOOKUP(PURCHASE!$D21,Table3[#All],3,0),"")</f>
        <v>Taimur</v>
      </c>
      <c r="G21" s="40">
        <v>45937</v>
      </c>
      <c r="H21" s="32">
        <v>35</v>
      </c>
      <c r="I21" s="32">
        <f>IFERROR(VLOOKUP(PURCHASE!$D21,Table2[#All],3,0),"")</f>
        <v>120</v>
      </c>
      <c r="J21" s="34">
        <f>Table4[[#This Row],[Units]]*Table4[[#This Row],[Cost]]</f>
        <v>4200</v>
      </c>
    </row>
    <row r="22" spans="4:10" x14ac:dyDescent="0.35">
      <c r="D22" s="31" t="s">
        <v>109</v>
      </c>
      <c r="E22" s="32" t="str">
        <f>IFERROR(VLOOKUP(PURCHASE!$D22,Table2[#All],2,0),"")</f>
        <v>Iphone 13</v>
      </c>
      <c r="F22" s="32" t="str">
        <f>IFERROR(VLOOKUP(PURCHASE!$D22,Table3[#All],3,0),"")</f>
        <v>Saim</v>
      </c>
      <c r="G22" s="40">
        <v>45937</v>
      </c>
      <c r="H22" s="32">
        <v>25</v>
      </c>
      <c r="I22" s="32">
        <f>IFERROR(VLOOKUP(PURCHASE!$D22,Table2[#All],3,0),"")</f>
        <v>120000</v>
      </c>
      <c r="J22" s="34">
        <f>Table4[[#This Row],[Units]]*Table4[[#This Row],[Cost]]</f>
        <v>3000000</v>
      </c>
    </row>
    <row r="23" spans="4:10" x14ac:dyDescent="0.35">
      <c r="D23" s="31" t="s">
        <v>113</v>
      </c>
      <c r="E23" s="32" t="str">
        <f>IFERROR(VLOOKUP(PURCHASE!$D23,Table2[#All],2,0),"")</f>
        <v>Iphone 14</v>
      </c>
      <c r="F23" s="32" t="str">
        <f>IFERROR(VLOOKUP(PURCHASE!$D23,Table3[#All],3,0),"")</f>
        <v>Ebaad</v>
      </c>
      <c r="G23" s="40">
        <v>45937</v>
      </c>
      <c r="H23" s="32">
        <v>16</v>
      </c>
      <c r="I23" s="32">
        <f>IFERROR(VLOOKUP(PURCHASE!$D23,Table2[#All],3,0),"")</f>
        <v>130000</v>
      </c>
      <c r="J23" s="34">
        <f>Table4[[#This Row],[Units]]*Table4[[#This Row],[Cost]]</f>
        <v>2080000</v>
      </c>
    </row>
    <row r="24" spans="4:10" x14ac:dyDescent="0.35">
      <c r="D24" s="31" t="s">
        <v>22</v>
      </c>
      <c r="E24" s="32" t="str">
        <f>IFERROR(VLOOKUP(PURCHASE!$D24,Table2[#All],2,0),"")</f>
        <v>Smart Watch</v>
      </c>
      <c r="F24" s="32" t="str">
        <f>IFERROR(VLOOKUP(PURCHASE!$D24,Table3[#All],3,0),"")</f>
        <v>Wahaj</v>
      </c>
      <c r="G24" s="40">
        <v>45937</v>
      </c>
      <c r="H24" s="32">
        <v>12</v>
      </c>
      <c r="I24" s="32">
        <f>IFERROR(VLOOKUP(PURCHASE!$D24,Table2[#All],3,0),"")</f>
        <v>980</v>
      </c>
      <c r="J24" s="34">
        <f>Table4[[#This Row],[Units]]*Table4[[#This Row],[Cost]]</f>
        <v>11760</v>
      </c>
    </row>
  </sheetData>
  <dataValidations count="1">
    <dataValidation type="list" allowBlank="1" showInputMessage="1" showErrorMessage="1" sqref="D6:D24" xr:uid="{2FBD1EA9-D587-49F1-961F-0285F436047C}">
      <formula1>CodeP</formula1>
    </dataValidation>
  </dataValidation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A071-1F4D-44FC-9C4D-DBB14A204983}">
  <sheetPr codeName="Sheet7"/>
  <dimension ref="B1:L23"/>
  <sheetViews>
    <sheetView showGridLines="0" showRowColHeaders="0" workbookViewId="0">
      <pane xSplit="3" ySplit="5" topLeftCell="D6" activePane="bottomRight" state="frozen"/>
      <selection pane="topRight" activeCell="D1" sqref="D1"/>
      <selection pane="bottomLeft" activeCell="A6" sqref="A6"/>
      <selection pane="bottomRight" activeCell="E3" sqref="E3"/>
    </sheetView>
  </sheetViews>
  <sheetFormatPr defaultRowHeight="14.5" x14ac:dyDescent="0.35"/>
  <cols>
    <col min="1" max="1" width="3" style="1" customWidth="1"/>
    <col min="2" max="2" width="25" style="2" customWidth="1"/>
    <col min="3" max="3" width="2.08984375" style="1" customWidth="1"/>
    <col min="4" max="4" width="9.54296875" style="1" customWidth="1"/>
    <col min="5" max="5" width="12.90625" style="1" customWidth="1"/>
    <col min="6" max="6" width="16.36328125" style="1" customWidth="1"/>
    <col min="7" max="7" width="15.36328125" style="1" customWidth="1"/>
    <col min="8" max="8" width="10.453125" style="1" bestFit="1" customWidth="1"/>
    <col min="9" max="9" width="14.36328125" style="1" customWidth="1"/>
    <col min="10" max="10" width="9.1796875" style="1" customWidth="1"/>
    <col min="11" max="11" width="8.7265625" style="1" customWidth="1"/>
    <col min="12" max="12" width="9.6328125" style="1" customWidth="1"/>
    <col min="13" max="16384" width="8.7265625" style="1"/>
  </cols>
  <sheetData>
    <row r="1" spans="2:12" x14ac:dyDescent="0.35">
      <c r="B1" s="1"/>
    </row>
    <row r="5" spans="2:12" x14ac:dyDescent="0.35">
      <c r="D5" s="24" t="s">
        <v>0</v>
      </c>
      <c r="E5" s="25" t="s">
        <v>78</v>
      </c>
      <c r="F5" s="25" t="s">
        <v>18</v>
      </c>
      <c r="G5" s="25" t="s">
        <v>19</v>
      </c>
      <c r="H5" s="25" t="s">
        <v>61</v>
      </c>
      <c r="I5" s="25" t="s">
        <v>79</v>
      </c>
      <c r="J5" s="25" t="s">
        <v>62</v>
      </c>
      <c r="K5" s="25" t="s">
        <v>80</v>
      </c>
      <c r="L5" s="26" t="s">
        <v>63</v>
      </c>
    </row>
    <row r="6" spans="2:12" x14ac:dyDescent="0.35">
      <c r="D6" s="27">
        <v>102</v>
      </c>
      <c r="E6" s="28" t="str">
        <f>IFERROR(VLOOKUP(salesdata[[#This Row],[Cust_ID]],customersdata[#All],2,0),"")</f>
        <v>Ahmed</v>
      </c>
      <c r="F6" s="28" t="s">
        <v>26</v>
      </c>
      <c r="G6" s="28" t="str">
        <f>IFERROR(VLOOKUP(salesdata[[#This Row],[Product_Code]],Table2[#All],2,0),"")</f>
        <v>Mouse</v>
      </c>
      <c r="H6" s="38">
        <v>45936</v>
      </c>
      <c r="I6" s="28">
        <f>IFERROR(VLOOKUP(salesdata[[#This Row],[Product_Code]],Table6[#All],6,0),"")</f>
        <v>23</v>
      </c>
      <c r="J6" s="28">
        <v>2</v>
      </c>
      <c r="K6" s="28">
        <f>IFERROR(VLOOKUP(salesdata[[#This Row],[Product_Code]],Table2[#All],4,0),"")</f>
        <v>1100</v>
      </c>
      <c r="L6" s="30">
        <f>salesdata[[#This Row],[Units]]*salesdata[[#This Row],[Price]]</f>
        <v>2200</v>
      </c>
    </row>
    <row r="7" spans="2:12" x14ac:dyDescent="0.35">
      <c r="D7" s="27">
        <v>105</v>
      </c>
      <c r="E7" s="28" t="str">
        <f>IFERROR(VLOOKUP(salesdata[[#This Row],[Cust_ID]],customersdata[#All],2,0),"")</f>
        <v>Hamid</v>
      </c>
      <c r="F7" s="28" t="s">
        <v>25</v>
      </c>
      <c r="G7" s="28" t="str">
        <f>IFERROR(VLOOKUP(salesdata[[#This Row],[Product_Code]],Table2[#All],2,0),"")</f>
        <v>Desktop</v>
      </c>
      <c r="H7" s="38">
        <v>45937</v>
      </c>
      <c r="I7" s="28">
        <f>IFERROR(VLOOKUP(salesdata[[#This Row],[Product_Code]],Table6[#All],6,0),"")</f>
        <v>4</v>
      </c>
      <c r="J7" s="28">
        <v>6</v>
      </c>
      <c r="K7" s="28">
        <f>IFERROR(VLOOKUP(salesdata[[#This Row],[Product_Code]],Table2[#All],4,0),"")</f>
        <v>35000</v>
      </c>
      <c r="L7" s="30">
        <f>salesdata[[#This Row],[Units]]*salesdata[[#This Row],[Price]]</f>
        <v>210000</v>
      </c>
    </row>
    <row r="8" spans="2:12" x14ac:dyDescent="0.35">
      <c r="D8" s="27">
        <v>101</v>
      </c>
      <c r="E8" s="28" t="str">
        <f>IFERROR(VLOOKUP(salesdata[[#This Row],[Cust_ID]],customersdata[#All],2,0),"")</f>
        <v>Ali</v>
      </c>
      <c r="F8" s="28" t="s">
        <v>23</v>
      </c>
      <c r="G8" s="28" t="str">
        <f>IFERROR(VLOOKUP(salesdata[[#This Row],[Product_Code]],Table2[#All],2,0),"")</f>
        <v>Laptop HP</v>
      </c>
      <c r="H8" s="38">
        <v>45938</v>
      </c>
      <c r="I8" s="28">
        <f>IFERROR(VLOOKUP(salesdata[[#This Row],[Product_Code]],Table6[#All],6,0),"")</f>
        <v>4</v>
      </c>
      <c r="J8" s="28">
        <v>11</v>
      </c>
      <c r="K8" s="28">
        <f>IFERROR(VLOOKUP(salesdata[[#This Row],[Product_Code]],Table2[#All],4,0),"")</f>
        <v>50000</v>
      </c>
      <c r="L8" s="30">
        <f>salesdata[[#This Row],[Units]]*salesdata[[#This Row],[Price]]</f>
        <v>550000</v>
      </c>
    </row>
    <row r="9" spans="2:12" x14ac:dyDescent="0.35">
      <c r="D9" s="27">
        <v>103</v>
      </c>
      <c r="E9" s="28" t="str">
        <f>IFERROR(VLOOKUP(salesdata[[#This Row],[Cust_ID]],customersdata[#All],2,0),"")</f>
        <v>Ahad</v>
      </c>
      <c r="F9" s="28" t="s">
        <v>22</v>
      </c>
      <c r="G9" s="28" t="str">
        <f>IFERROR(VLOOKUP(salesdata[[#This Row],[Product_Code]],Table2[#All],2,0),"")</f>
        <v>Smart Watch</v>
      </c>
      <c r="H9" s="38">
        <v>45939</v>
      </c>
      <c r="I9" s="28">
        <f>IFERROR(VLOOKUP(salesdata[[#This Row],[Product_Code]],Table6[#All],6,0),"")</f>
        <v>71</v>
      </c>
      <c r="J9" s="28">
        <v>1</v>
      </c>
      <c r="K9" s="28">
        <f>IFERROR(VLOOKUP(salesdata[[#This Row],[Product_Code]],Table2[#All],4,0),"")</f>
        <v>1200</v>
      </c>
      <c r="L9" s="30">
        <f>salesdata[[#This Row],[Units]]*salesdata[[#This Row],[Price]]</f>
        <v>1200</v>
      </c>
    </row>
    <row r="10" spans="2:12" x14ac:dyDescent="0.35">
      <c r="D10" s="27">
        <v>104</v>
      </c>
      <c r="E10" s="28" t="str">
        <f>IFERROR(VLOOKUP(salesdata[[#This Row],[Cust_ID]],customersdata[#All],2,0),"")</f>
        <v>Bilal</v>
      </c>
      <c r="F10" s="28" t="s">
        <v>24</v>
      </c>
      <c r="G10" s="28" t="str">
        <f>IFERROR(VLOOKUP(salesdata[[#This Row],[Product_Code]],Table2[#All],2,0),"")</f>
        <v>Wireless Printer</v>
      </c>
      <c r="H10" s="38">
        <v>45940</v>
      </c>
      <c r="I10" s="28">
        <f>IFERROR(VLOOKUP(salesdata[[#This Row],[Product_Code]],Table6[#All],6,0),"")</f>
        <v>4</v>
      </c>
      <c r="J10" s="28">
        <v>8</v>
      </c>
      <c r="K10" s="28">
        <f>IFERROR(VLOOKUP(salesdata[[#This Row],[Product_Code]],Table2[#All],4,0),"")</f>
        <v>55000</v>
      </c>
      <c r="L10" s="30">
        <f>salesdata[[#This Row],[Units]]*salesdata[[#This Row],[Price]]</f>
        <v>440000</v>
      </c>
    </row>
    <row r="11" spans="2:12" x14ac:dyDescent="0.35">
      <c r="D11" s="27">
        <v>107</v>
      </c>
      <c r="E11" s="28" t="str">
        <f>IFERROR(VLOOKUP(salesdata[[#This Row],[Cust_ID]],customersdata[#All],2,0),"")</f>
        <v>Waleed</v>
      </c>
      <c r="F11" s="28" t="s">
        <v>28</v>
      </c>
      <c r="G11" s="28" t="str">
        <f>IFERROR(VLOOKUP(salesdata[[#This Row],[Product_Code]],Table2[#All],2,0),"")</f>
        <v>Camera</v>
      </c>
      <c r="H11" s="38">
        <v>45941</v>
      </c>
      <c r="I11" s="28">
        <f>IFERROR(VLOOKUP(salesdata[[#This Row],[Product_Code]],Table6[#All],6,0),"")</f>
        <v>13</v>
      </c>
      <c r="J11" s="28">
        <v>7</v>
      </c>
      <c r="K11" s="28">
        <f>IFERROR(VLOOKUP(salesdata[[#This Row],[Product_Code]],Table2[#All],4,0),"")</f>
        <v>75000</v>
      </c>
      <c r="L11" s="30">
        <f>salesdata[[#This Row],[Units]]*salesdata[[#This Row],[Price]]</f>
        <v>525000</v>
      </c>
    </row>
    <row r="12" spans="2:12" x14ac:dyDescent="0.35">
      <c r="D12" s="27">
        <v>106</v>
      </c>
      <c r="E12" s="28" t="str">
        <f>IFERROR(VLOOKUP(salesdata[[#This Row],[Cust_ID]],customersdata[#All],2,0),"")</f>
        <v>Danish</v>
      </c>
      <c r="F12" s="28" t="s">
        <v>27</v>
      </c>
      <c r="G12" s="28" t="str">
        <f>IFERROR(VLOOKUP(salesdata[[#This Row],[Product_Code]],Table2[#All],2,0),"")</f>
        <v>Rgb Keyboard</v>
      </c>
      <c r="H12" s="38">
        <v>45942</v>
      </c>
      <c r="I12" s="28">
        <f>IFERROR(VLOOKUP(salesdata[[#This Row],[Product_Code]],Table6[#All],6,0),"")</f>
        <v>29</v>
      </c>
      <c r="J12" s="28">
        <v>3</v>
      </c>
      <c r="K12" s="28">
        <f>IFERROR(VLOOKUP(salesdata[[#This Row],[Product_Code]],Table2[#All],4,0),"")</f>
        <v>2000</v>
      </c>
      <c r="L12" s="30">
        <f>salesdata[[#This Row],[Units]]*salesdata[[#This Row],[Price]]</f>
        <v>6000</v>
      </c>
    </row>
    <row r="13" spans="2:12" x14ac:dyDescent="0.35">
      <c r="D13" s="27">
        <v>102</v>
      </c>
      <c r="E13" s="28" t="str">
        <f>IFERROR(VLOOKUP(salesdata[[#This Row],[Cust_ID]],customersdata[#All],2,0),"")</f>
        <v>Ahmed</v>
      </c>
      <c r="F13" s="28" t="s">
        <v>30</v>
      </c>
      <c r="G13" s="28" t="str">
        <f>IFERROR(VLOOKUP(salesdata[[#This Row],[Product_Code]],Table2[#All],2,0),"")</f>
        <v>Speakers</v>
      </c>
      <c r="H13" s="38">
        <v>45943</v>
      </c>
      <c r="I13" s="28">
        <f>IFERROR(VLOOKUP(salesdata[[#This Row],[Product_Code]],Table6[#All],6,0),"")</f>
        <v>12</v>
      </c>
      <c r="J13" s="28">
        <v>2</v>
      </c>
      <c r="K13" s="28">
        <f>IFERROR(VLOOKUP(salesdata[[#This Row],[Product_Code]],Table2[#All],4,0),"")</f>
        <v>3500</v>
      </c>
      <c r="L13" s="30">
        <f>salesdata[[#This Row],[Units]]*salesdata[[#This Row],[Price]]</f>
        <v>7000</v>
      </c>
    </row>
    <row r="14" spans="2:12" x14ac:dyDescent="0.35">
      <c r="D14" s="27">
        <v>103</v>
      </c>
      <c r="E14" s="28" t="str">
        <f>IFERROR(VLOOKUP(salesdata[[#This Row],[Cust_ID]],customersdata[#All],2,0),"")</f>
        <v>Ahad</v>
      </c>
      <c r="F14" s="28" t="s">
        <v>29</v>
      </c>
      <c r="G14" s="28" t="str">
        <f>IFERROR(VLOOKUP(salesdata[[#This Row],[Product_Code]],Table2[#All],2,0),"")</f>
        <v>Headphone</v>
      </c>
      <c r="H14" s="38">
        <v>45944</v>
      </c>
      <c r="I14" s="28">
        <f>IFERROR(VLOOKUP(salesdata[[#This Row],[Product_Code]],Table6[#All],6,0),"")</f>
        <v>34</v>
      </c>
      <c r="J14" s="28">
        <v>1</v>
      </c>
      <c r="K14" s="28">
        <f>IFERROR(VLOOKUP(salesdata[[#This Row],[Product_Code]],Table2[#All],4,0),"")</f>
        <v>1800</v>
      </c>
      <c r="L14" s="30">
        <f>salesdata[[#This Row],[Units]]*salesdata[[#This Row],[Price]]</f>
        <v>1800</v>
      </c>
    </row>
    <row r="15" spans="2:12" x14ac:dyDescent="0.35">
      <c r="D15" s="27">
        <v>101</v>
      </c>
      <c r="E15" s="28" t="str">
        <f>IFERROR(VLOOKUP(salesdata[[#This Row],[Cust_ID]],customersdata[#All],2,0),"")</f>
        <v>Ali</v>
      </c>
      <c r="F15" s="28" t="s">
        <v>64</v>
      </c>
      <c r="G15" s="28" t="str">
        <f>IFERROR(VLOOKUP(salesdata[[#This Row],[Product_Code]],Table2[#All],2,0),"")</f>
        <v>Adopter</v>
      </c>
      <c r="H15" s="38">
        <v>45945</v>
      </c>
      <c r="I15" s="28">
        <f>IFERROR(VLOOKUP(salesdata[[#This Row],[Product_Code]],Table6[#All],6,0),"")</f>
        <v>4</v>
      </c>
      <c r="J15" s="28">
        <v>6</v>
      </c>
      <c r="K15" s="28">
        <f>IFERROR(VLOOKUP(salesdata[[#This Row],[Product_Code]],Table2[#All],4,0),"")</f>
        <v>2500</v>
      </c>
      <c r="L15" s="30">
        <f>salesdata[[#This Row],[Units]]*salesdata[[#This Row],[Price]]</f>
        <v>15000</v>
      </c>
    </row>
    <row r="16" spans="2:12" x14ac:dyDescent="0.35">
      <c r="D16" s="27">
        <v>106</v>
      </c>
      <c r="E16" s="28" t="str">
        <f>IFERROR(VLOOKUP(salesdata[[#This Row],[Cust_ID]],customersdata[#All],2,0),"")</f>
        <v>Danish</v>
      </c>
      <c r="F16" s="28" t="s">
        <v>31</v>
      </c>
      <c r="G16" s="28" t="str">
        <f>IFERROR(VLOOKUP(salesdata[[#This Row],[Product_Code]],Table2[#All],2,0),"")</f>
        <v>Tablets</v>
      </c>
      <c r="H16" s="38">
        <v>45946</v>
      </c>
      <c r="I16" s="28">
        <f>IFERROR(VLOOKUP(salesdata[[#This Row],[Product_Code]],Table6[#All],6,0),"")</f>
        <v>21</v>
      </c>
      <c r="J16" s="28">
        <v>2</v>
      </c>
      <c r="K16" s="28">
        <f>IFERROR(VLOOKUP(salesdata[[#This Row],[Product_Code]],Table2[#All],4,0),"")</f>
        <v>45000</v>
      </c>
      <c r="L16" s="30">
        <f>salesdata[[#This Row],[Units]]*salesdata[[#This Row],[Price]]</f>
        <v>90000</v>
      </c>
    </row>
    <row r="17" spans="4:12" x14ac:dyDescent="0.35">
      <c r="D17" s="27">
        <v>107</v>
      </c>
      <c r="E17" s="28" t="str">
        <f>IFERROR(VLOOKUP(salesdata[[#This Row],[Cust_ID]],customersdata[#All],2,0),"")</f>
        <v>Waleed</v>
      </c>
      <c r="F17" s="28" t="s">
        <v>66</v>
      </c>
      <c r="G17" s="28" t="str">
        <f>IFERROR(VLOOKUP(salesdata[[#This Row],[Product_Code]],Table2[#All],2,0),"")</f>
        <v>Wireless Mouse</v>
      </c>
      <c r="H17" s="38">
        <v>45947</v>
      </c>
      <c r="I17" s="28">
        <f>IFERROR(VLOOKUP(salesdata[[#This Row],[Product_Code]],Table6[#All],6,0),"")</f>
        <v>54</v>
      </c>
      <c r="J17" s="28">
        <v>3</v>
      </c>
      <c r="K17" s="28">
        <f>IFERROR(VLOOKUP(salesdata[[#This Row],[Product_Code]],Table2[#All],4,0),"")</f>
        <v>4000</v>
      </c>
      <c r="L17" s="30">
        <f>salesdata[[#This Row],[Units]]*salesdata[[#This Row],[Price]]</f>
        <v>12000</v>
      </c>
    </row>
    <row r="18" spans="4:12" x14ac:dyDescent="0.35">
      <c r="D18" s="27">
        <v>105</v>
      </c>
      <c r="E18" s="28" t="str">
        <f>IFERROR(VLOOKUP(salesdata[[#This Row],[Cust_ID]],customersdata[#All],2,0),"")</f>
        <v>Hamid</v>
      </c>
      <c r="F18" s="28" t="s">
        <v>72</v>
      </c>
      <c r="G18" s="28" t="str">
        <f>IFERROR(VLOOKUP(salesdata[[#This Row],[Product_Code]],Table2[#All],2,0),"")</f>
        <v>Charger</v>
      </c>
      <c r="H18" s="38">
        <v>45948</v>
      </c>
      <c r="I18" s="28">
        <f>IFERROR(VLOOKUP(salesdata[[#This Row],[Product_Code]],Table6[#All],6,0),"")</f>
        <v>46</v>
      </c>
      <c r="J18" s="28">
        <v>4</v>
      </c>
      <c r="K18" s="28">
        <f>IFERROR(VLOOKUP(salesdata[[#This Row],[Product_Code]],Table2[#All],4,0),"")</f>
        <v>1000</v>
      </c>
      <c r="L18" s="30">
        <f>salesdata[[#This Row],[Units]]*salesdata[[#This Row],[Price]]</f>
        <v>4000</v>
      </c>
    </row>
    <row r="19" spans="4:12" x14ac:dyDescent="0.35">
      <c r="D19" s="27">
        <v>104</v>
      </c>
      <c r="E19" s="28" t="str">
        <f>IFERROR(VLOOKUP(salesdata[[#This Row],[Cust_ID]],customersdata[#All],2,0),"")</f>
        <v>Bilal</v>
      </c>
      <c r="F19" s="28" t="s">
        <v>71</v>
      </c>
      <c r="G19" s="28" t="str">
        <f>IFERROR(VLOOKUP(salesdata[[#This Row],[Product_Code]],Table2[#All],2,0),"")</f>
        <v>Macbook</v>
      </c>
      <c r="H19" s="38">
        <v>45949</v>
      </c>
      <c r="I19" s="28">
        <f>IFERROR(VLOOKUP(salesdata[[#This Row],[Product_Code]],Table6[#All],6,0),"")</f>
        <v>24</v>
      </c>
      <c r="J19" s="28">
        <v>1</v>
      </c>
      <c r="K19" s="28">
        <f>IFERROR(VLOOKUP(salesdata[[#This Row],[Product_Code]],Table2[#All],4,0),"")</f>
        <v>250000</v>
      </c>
      <c r="L19" s="30">
        <f>salesdata[[#This Row],[Units]]*salesdata[[#This Row],[Price]]</f>
        <v>250000</v>
      </c>
    </row>
    <row r="20" spans="4:12" x14ac:dyDescent="0.35">
      <c r="D20" s="27">
        <v>105</v>
      </c>
      <c r="E20" s="28" t="str">
        <f>IFERROR(VLOOKUP(salesdata[[#This Row],[Cust_ID]],customersdata[#All],2,0),"")</f>
        <v>Hamid</v>
      </c>
      <c r="F20" s="28" t="s">
        <v>85</v>
      </c>
      <c r="G20" s="28" t="str">
        <f>IFERROR(VLOOKUP(salesdata[[#This Row],[Product_Code]],Table2[#All],2,0),"")</f>
        <v>Apple Watch</v>
      </c>
      <c r="H20" s="38">
        <v>45949</v>
      </c>
      <c r="I20" s="28">
        <f>IFERROR(VLOOKUP(salesdata[[#This Row],[Product_Code]],Table6[#All],6,0),"")</f>
        <v>22</v>
      </c>
      <c r="J20" s="28">
        <v>3</v>
      </c>
      <c r="K20" s="28">
        <f>IFERROR(VLOOKUP(salesdata[[#This Row],[Product_Code]],Table2[#All],4,0),"")</f>
        <v>45000</v>
      </c>
      <c r="L20" s="30">
        <f>salesdata[[#This Row],[Units]]*salesdata[[#This Row],[Price]]</f>
        <v>135000</v>
      </c>
    </row>
    <row r="21" spans="4:12" x14ac:dyDescent="0.35">
      <c r="D21" s="31">
        <v>104</v>
      </c>
      <c r="E21" s="32" t="str">
        <f>IFERROR(VLOOKUP(salesdata[[#This Row],[Cust_ID]],customersdata[#All],2,0),"")</f>
        <v>Bilal</v>
      </c>
      <c r="F21" s="32" t="s">
        <v>88</v>
      </c>
      <c r="G21" s="32" t="str">
        <f>IFERROR(VLOOKUP(salesdata[[#This Row],[Product_Code]],Table2[#All],2,0),"")</f>
        <v>Lightening Cable</v>
      </c>
      <c r="H21" s="40">
        <v>45949</v>
      </c>
      <c r="I21" s="32">
        <f>IFERROR(VLOOKUP(salesdata[[#This Row],[Product_Code]],Table6[#All],6,0),"")</f>
        <v>34</v>
      </c>
      <c r="J21" s="32">
        <v>1</v>
      </c>
      <c r="K21" s="32">
        <f>IFERROR(VLOOKUP(salesdata[[#This Row],[Product_Code]],Table2[#All],4,0),"")</f>
        <v>250</v>
      </c>
      <c r="L21" s="34">
        <f>salesdata[[#This Row],[Units]]*salesdata[[#This Row],[Price]]</f>
        <v>250</v>
      </c>
    </row>
    <row r="22" spans="4:12" x14ac:dyDescent="0.35">
      <c r="D22" s="31">
        <v>108</v>
      </c>
      <c r="E22" s="32" t="str">
        <f>IFERROR(VLOOKUP(salesdata[[#This Row],[Cust_ID]],customersdata[#All],2,0),"")</f>
        <v>Qsim</v>
      </c>
      <c r="F22" s="32" t="s">
        <v>109</v>
      </c>
      <c r="G22" s="32" t="str">
        <f>IFERROR(VLOOKUP(salesdata[[#This Row],[Product_Code]],Table2[#All],2,0),"")</f>
        <v>Iphone 13</v>
      </c>
      <c r="H22" s="40">
        <v>45949</v>
      </c>
      <c r="I22" s="28">
        <f>IFERROR(VLOOKUP(salesdata[[#This Row],[Product_Code]],Table6[#All],6,0),"")</f>
        <v>23</v>
      </c>
      <c r="J22" s="32">
        <v>2</v>
      </c>
      <c r="K22" s="32">
        <f>IFERROR(VLOOKUP(salesdata[[#This Row],[Product_Code]],Table2[#All],4,0),"")</f>
        <v>150000</v>
      </c>
      <c r="L22" s="34">
        <f>salesdata[[#This Row],[Units]]*salesdata[[#This Row],[Price]]</f>
        <v>300000</v>
      </c>
    </row>
    <row r="23" spans="4:12" x14ac:dyDescent="0.35">
      <c r="D23" s="31">
        <v>108</v>
      </c>
      <c r="E23" s="32" t="str">
        <f>IFERROR(VLOOKUP(salesdata[[#This Row],[Cust_ID]],customersdata[#All],2,0),"")</f>
        <v>Qsim</v>
      </c>
      <c r="F23" s="32" t="s">
        <v>113</v>
      </c>
      <c r="G23" s="32" t="str">
        <f>IFERROR(VLOOKUP(salesdata[[#This Row],[Product_Code]],Table2[#All],2,0),"")</f>
        <v>Iphone 14</v>
      </c>
      <c r="H23" s="40">
        <v>45949</v>
      </c>
      <c r="I23" s="32">
        <f>IFERROR(VLOOKUP(salesdata[[#This Row],[Product_Code]],Table6[#All],6,0),"")</f>
        <v>13</v>
      </c>
      <c r="J23" s="32">
        <v>3</v>
      </c>
      <c r="K23" s="32">
        <f>IFERROR(VLOOKUP(salesdata[[#This Row],[Product_Code]],Table2[#All],4,0),"")</f>
        <v>165000</v>
      </c>
      <c r="L23" s="34">
        <f>salesdata[[#This Row],[Units]]*salesdata[[#This Row],[Price]]</f>
        <v>495000</v>
      </c>
    </row>
  </sheetData>
  <dataValidations count="2">
    <dataValidation type="list" allowBlank="1" showInputMessage="1" showErrorMessage="1" sqref="D6:D23" xr:uid="{8558B5E2-268C-4931-B336-622E0E65F49A}">
      <formula1>Cust_ID</formula1>
    </dataValidation>
    <dataValidation type="list" allowBlank="1" showInputMessage="1" showErrorMessage="1" sqref="F6:F23" xr:uid="{29658484-343B-4AE8-85D1-F38EEB35A509}">
      <formula1>CodeP</formula1>
    </dataValidation>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9A7D-0472-4C3C-8146-980421AA4249}">
  <sheetPr codeName="Sheet8"/>
  <dimension ref="B1:K24"/>
  <sheetViews>
    <sheetView showGridLines="0" showRowColHeaders="0" workbookViewId="0">
      <pane xSplit="3" ySplit="6" topLeftCell="D7" activePane="bottomRight" state="frozen"/>
      <selection pane="topRight" activeCell="D1" sqref="D1"/>
      <selection pane="bottomLeft" activeCell="A7" sqref="A7"/>
      <selection pane="bottomRight" activeCell="E3" sqref="E3"/>
    </sheetView>
  </sheetViews>
  <sheetFormatPr defaultRowHeight="14.5" x14ac:dyDescent="0.35"/>
  <cols>
    <col min="1" max="1" width="3" style="1" customWidth="1"/>
    <col min="2" max="2" width="25" style="2" customWidth="1"/>
    <col min="3" max="3" width="2.26953125" style="1" customWidth="1"/>
    <col min="4" max="4" width="14.7265625" style="1" customWidth="1"/>
    <col min="5" max="5" width="15.36328125" style="1" customWidth="1"/>
    <col min="6" max="6" width="8.7265625" style="1"/>
    <col min="7" max="7" width="16.36328125" style="1" customWidth="1"/>
    <col min="8" max="8" width="11.1796875" style="1" customWidth="1"/>
    <col min="9" max="9" width="8.7265625" style="1"/>
    <col min="10" max="10" width="14.6328125" style="1" customWidth="1"/>
    <col min="11" max="11" width="48.54296875" style="1" hidden="1" customWidth="1"/>
    <col min="12" max="16384" width="8.7265625" style="1"/>
  </cols>
  <sheetData>
    <row r="1" spans="2:11" x14ac:dyDescent="0.35">
      <c r="B1" s="1"/>
    </row>
    <row r="6" spans="2:11" x14ac:dyDescent="0.35">
      <c r="D6" s="28" t="s">
        <v>18</v>
      </c>
      <c r="E6" s="28" t="s">
        <v>19</v>
      </c>
      <c r="F6" s="28" t="s">
        <v>20</v>
      </c>
      <c r="G6" s="28" t="s">
        <v>81</v>
      </c>
      <c r="H6" s="28" t="s">
        <v>82</v>
      </c>
      <c r="I6" s="28" t="s">
        <v>83</v>
      </c>
      <c r="J6" s="28" t="s">
        <v>84</v>
      </c>
      <c r="K6" s="1" t="s">
        <v>100</v>
      </c>
    </row>
    <row r="7" spans="2:11" x14ac:dyDescent="0.35">
      <c r="D7" s="28" t="str">
        <f>IFERROR(PRODUCTS!D6,"")</f>
        <v>N101</v>
      </c>
      <c r="E7" s="28" t="str">
        <f>IFERROR(PRODUCTS!E6,"")</f>
        <v>Smart Watch</v>
      </c>
      <c r="F7" s="28">
        <f>IFERROR(PRODUCTS!F6,"")</f>
        <v>980</v>
      </c>
      <c r="G7" s="28">
        <f>SUMIF(Table4[Product_Name],Table6[[#This Row],[Product_Name]],Table4[Units])</f>
        <v>72</v>
      </c>
      <c r="H7" s="28">
        <f>SUMIF(salesdata[Product_Name],Table6[[#This Row],[Product_Name]],salesdata[Units])</f>
        <v>1</v>
      </c>
      <c r="I7" s="28">
        <f>Table6[[#This Row],[Purchased Units]]-Table6[[#This Row],[Sold Units]]</f>
        <v>71</v>
      </c>
      <c r="J7" s="28">
        <f>Table6[[#This Row],[Cost]]*Table6[[#This Row],[Stock]]</f>
        <v>69580</v>
      </c>
      <c r="K7" s="1" t="str">
        <f>IF(Table6[[#This Row],[Stock]]&lt;5,"📞 "&amp;Table6[[#This Row],[Product_Name]]&amp;" Needs to re-order ! Ph "&amp;VLOOKUP(Table6[[#This Row],[Product_Code]],Table3[#All],4,0),"")</f>
        <v/>
      </c>
    </row>
    <row r="8" spans="2:11" x14ac:dyDescent="0.35">
      <c r="D8" s="28" t="str">
        <f>IFERROR(PRODUCTS!D7,"")</f>
        <v>N102</v>
      </c>
      <c r="E8" s="28" t="str">
        <f>IFERROR(PRODUCTS!E7,"")</f>
        <v>Laptop HP</v>
      </c>
      <c r="F8" s="28">
        <f>IFERROR(PRODUCTS!F7,"")</f>
        <v>34500</v>
      </c>
      <c r="G8" s="28">
        <f>SUMIF(Table4[Product_Name],Table6[[#This Row],[Product_Name]],Table4[Units])</f>
        <v>15</v>
      </c>
      <c r="H8" s="28">
        <f>SUMIF(salesdata[Product_Name],Table6[[#This Row],[Product_Name]],salesdata[Units])</f>
        <v>11</v>
      </c>
      <c r="I8" s="28">
        <f>Table6[[#This Row],[Purchased Units]]-Table6[[#This Row],[Sold Units]]</f>
        <v>4</v>
      </c>
      <c r="J8" s="28">
        <f>Table6[[#This Row],[Cost]]*Table6[[#This Row],[Stock]]</f>
        <v>138000</v>
      </c>
      <c r="K8" s="1" t="str">
        <f>IF(Table6[[#This Row],[Stock]]&lt;5,"📞 "&amp;Table6[[#This Row],[Product_Name]]&amp;" Needs to re-order ! Ph "&amp;VLOOKUP(Table6[[#This Row],[Product_Code]],Table3[#All],4,0),"")</f>
        <v>📞 Laptop HP Needs to re-order ! Ph 0321xxxxxxxx</v>
      </c>
    </row>
    <row r="9" spans="2:11" x14ac:dyDescent="0.35">
      <c r="D9" s="28" t="str">
        <f>IFERROR(PRODUCTS!D8,"")</f>
        <v>N103</v>
      </c>
      <c r="E9" s="28" t="str">
        <f>IFERROR(PRODUCTS!E8,"")</f>
        <v>Wireless Printer</v>
      </c>
      <c r="F9" s="28">
        <f>IFERROR(PRODUCTS!F8,"")</f>
        <v>35650</v>
      </c>
      <c r="G9" s="28">
        <f>SUMIF(Table4[Product_Name],Table6[[#This Row],[Product_Name]],Table4[Units])</f>
        <v>12</v>
      </c>
      <c r="H9" s="28">
        <f>SUMIF(salesdata[Product_Name],Table6[[#This Row],[Product_Name]],salesdata[Units])</f>
        <v>8</v>
      </c>
      <c r="I9" s="28">
        <f>Table6[[#This Row],[Purchased Units]]-Table6[[#This Row],[Sold Units]]</f>
        <v>4</v>
      </c>
      <c r="J9" s="28">
        <f>Table6[[#This Row],[Cost]]*Table6[[#This Row],[Stock]]</f>
        <v>142600</v>
      </c>
      <c r="K9" s="1" t="str">
        <f>IF(Table6[[#This Row],[Stock]]&lt;5,"📞 "&amp;Table6[[#This Row],[Product_Name]]&amp;" Needs to re-order ! Ph "&amp;VLOOKUP(Table6[[#This Row],[Product_Code]],Table3[#All],4,0),"")</f>
        <v>📞 Wireless Printer Needs to re-order ! Ph 0321xxxxxxxx</v>
      </c>
    </row>
    <row r="10" spans="2:11" x14ac:dyDescent="0.35">
      <c r="D10" s="28" t="str">
        <f>IFERROR(PRODUCTS!D9,"")</f>
        <v>N104</v>
      </c>
      <c r="E10" s="28" t="str">
        <f>IFERROR(PRODUCTS!E9,"")</f>
        <v>Desktop</v>
      </c>
      <c r="F10" s="28">
        <f>IFERROR(PRODUCTS!F9,"")</f>
        <v>21000</v>
      </c>
      <c r="G10" s="28">
        <f>SUMIF(Table4[Product_Name],Table6[[#This Row],[Product_Name]],Table4[Units])</f>
        <v>10</v>
      </c>
      <c r="H10" s="28">
        <f>SUMIF(salesdata[Product_Name],Table6[[#This Row],[Product_Name]],salesdata[Units])</f>
        <v>6</v>
      </c>
      <c r="I10" s="28">
        <f>Table6[[#This Row],[Purchased Units]]-Table6[[#This Row],[Sold Units]]</f>
        <v>4</v>
      </c>
      <c r="J10" s="28">
        <f>Table6[[#This Row],[Cost]]*Table6[[#This Row],[Stock]]</f>
        <v>84000</v>
      </c>
      <c r="K10" s="1" t="str">
        <f>IF(Table6[[#This Row],[Stock]]&lt;5,"📞 "&amp;Table6[[#This Row],[Product_Name]]&amp;" Needs to re-order ! Ph "&amp;VLOOKUP(Table6[[#This Row],[Product_Code]],Table3[#All],4,0),"")</f>
        <v>📞 Desktop Needs to re-order ! Ph 0333xxxxxxxx</v>
      </c>
    </row>
    <row r="11" spans="2:11" x14ac:dyDescent="0.35">
      <c r="D11" s="28" t="str">
        <f>IFERROR(PRODUCTS!D10,"")</f>
        <v>N105</v>
      </c>
      <c r="E11" s="28" t="str">
        <f>IFERROR(PRODUCTS!E10,"")</f>
        <v>Mouse</v>
      </c>
      <c r="F11" s="28">
        <f>IFERROR(PRODUCTS!F10,"")</f>
        <v>550</v>
      </c>
      <c r="G11" s="28">
        <f>SUMIF(Table4[Product_Name],Table6[[#This Row],[Product_Name]],Table4[Units])</f>
        <v>25</v>
      </c>
      <c r="H11" s="28">
        <f>SUMIF(salesdata[Product_Name],Table6[[#This Row],[Product_Name]],salesdata[Units])</f>
        <v>2</v>
      </c>
      <c r="I11" s="28">
        <f>Table6[[#This Row],[Purchased Units]]-Table6[[#This Row],[Sold Units]]</f>
        <v>23</v>
      </c>
      <c r="J11" s="28">
        <f>Table6[[#This Row],[Cost]]*Table6[[#This Row],[Stock]]</f>
        <v>12650</v>
      </c>
      <c r="K11" s="1" t="str">
        <f>IF(Table6[[#This Row],[Stock]]&lt;5,"📞 "&amp;Table6[[#This Row],[Product_Name]]&amp;" Needs to re-order ! Ph "&amp;VLOOKUP(Table6[[#This Row],[Product_Code]],Table3[#All],4,0),"")</f>
        <v/>
      </c>
    </row>
    <row r="12" spans="2:11" x14ac:dyDescent="0.35">
      <c r="D12" s="28" t="str">
        <f>IFERROR(PRODUCTS!D11,"")</f>
        <v>N106</v>
      </c>
      <c r="E12" s="28" t="str">
        <f>IFERROR(PRODUCTS!E11,"")</f>
        <v>Rgb Keyboard</v>
      </c>
      <c r="F12" s="28">
        <f>IFERROR(PRODUCTS!F11,"")</f>
        <v>1250</v>
      </c>
      <c r="G12" s="28">
        <f>SUMIF(Table4[Product_Name],Table6[[#This Row],[Product_Name]],Table4[Units])</f>
        <v>32</v>
      </c>
      <c r="H12" s="28">
        <f>SUMIF(salesdata[Product_Name],Table6[[#This Row],[Product_Name]],salesdata[Units])</f>
        <v>3</v>
      </c>
      <c r="I12" s="28">
        <f>Table6[[#This Row],[Purchased Units]]-Table6[[#This Row],[Sold Units]]</f>
        <v>29</v>
      </c>
      <c r="J12" s="28">
        <f>Table6[[#This Row],[Cost]]*Table6[[#This Row],[Stock]]</f>
        <v>36250</v>
      </c>
      <c r="K12" s="1" t="str">
        <f>IF(Table6[[#This Row],[Stock]]&lt;5,"📞 "&amp;Table6[[#This Row],[Product_Name]]&amp;" Needs to re-order ! Ph "&amp;VLOOKUP(Table6[[#This Row],[Product_Code]],Table3[#All],4,0),"")</f>
        <v/>
      </c>
    </row>
    <row r="13" spans="2:11" x14ac:dyDescent="0.35">
      <c r="D13" s="28" t="str">
        <f>IFERROR(PRODUCTS!D12,"")</f>
        <v>N107</v>
      </c>
      <c r="E13" s="28" t="str">
        <f>IFERROR(PRODUCTS!E12,"")</f>
        <v>Camera</v>
      </c>
      <c r="F13" s="28">
        <f>IFERROR(PRODUCTS!F12,"")</f>
        <v>52000</v>
      </c>
      <c r="G13" s="28">
        <f>SUMIF(Table4[Product_Name],Table6[[#This Row],[Product_Name]],Table4[Units])</f>
        <v>20</v>
      </c>
      <c r="H13" s="28">
        <f>SUMIF(salesdata[Product_Name],Table6[[#This Row],[Product_Name]],salesdata[Units])</f>
        <v>7</v>
      </c>
      <c r="I13" s="28">
        <f>Table6[[#This Row],[Purchased Units]]-Table6[[#This Row],[Sold Units]]</f>
        <v>13</v>
      </c>
      <c r="J13" s="28">
        <f>Table6[[#This Row],[Cost]]*Table6[[#This Row],[Stock]]</f>
        <v>676000</v>
      </c>
      <c r="K13" s="1" t="str">
        <f>IF(Table6[[#This Row],[Stock]]&lt;5,"📞 "&amp;Table6[[#This Row],[Product_Name]]&amp;" Needs to re-order ! Ph "&amp;VLOOKUP(Table6[[#This Row],[Product_Code]],Table3[#All],4,0),"")</f>
        <v/>
      </c>
    </row>
    <row r="14" spans="2:11" x14ac:dyDescent="0.35">
      <c r="D14" s="28" t="str">
        <f>IFERROR(PRODUCTS!D13,"")</f>
        <v>N108</v>
      </c>
      <c r="E14" s="28" t="str">
        <f>IFERROR(PRODUCTS!E13,"")</f>
        <v>Headphone</v>
      </c>
      <c r="F14" s="28">
        <f>IFERROR(PRODUCTS!F13,"")</f>
        <v>790</v>
      </c>
      <c r="G14" s="28">
        <f>SUMIF(Table4[Product_Name],Table6[[#This Row],[Product_Name]],Table4[Units])</f>
        <v>35</v>
      </c>
      <c r="H14" s="28">
        <f>SUMIF(salesdata[Product_Name],Table6[[#This Row],[Product_Name]],salesdata[Units])</f>
        <v>1</v>
      </c>
      <c r="I14" s="28">
        <f>Table6[[#This Row],[Purchased Units]]-Table6[[#This Row],[Sold Units]]</f>
        <v>34</v>
      </c>
      <c r="J14" s="28">
        <f>Table6[[#This Row],[Cost]]*Table6[[#This Row],[Stock]]</f>
        <v>26860</v>
      </c>
      <c r="K14" s="1" t="str">
        <f>IF(Table6[[#This Row],[Stock]]&lt;5,"📞 "&amp;Table6[[#This Row],[Product_Name]]&amp;" Needs to re-order ! Ph "&amp;VLOOKUP(Table6[[#This Row],[Product_Code]],Table3[#All],4,0),"")</f>
        <v/>
      </c>
    </row>
    <row r="15" spans="2:11" x14ac:dyDescent="0.35">
      <c r="D15" s="28" t="str">
        <f>IFERROR(PRODUCTS!D14,"")</f>
        <v>N109</v>
      </c>
      <c r="E15" s="28" t="str">
        <f>IFERROR(PRODUCTS!E14,"")</f>
        <v>Speakers</v>
      </c>
      <c r="F15" s="28">
        <f>IFERROR(PRODUCTS!F14,"")</f>
        <v>1750</v>
      </c>
      <c r="G15" s="28">
        <f>SUMIF(Table4[Product_Name],Table6[[#This Row],[Product_Name]],Table4[Units])</f>
        <v>14</v>
      </c>
      <c r="H15" s="28">
        <f>SUMIF(salesdata[Product_Name],Table6[[#This Row],[Product_Name]],salesdata[Units])</f>
        <v>2</v>
      </c>
      <c r="I15" s="28">
        <f>Table6[[#This Row],[Purchased Units]]-Table6[[#This Row],[Sold Units]]</f>
        <v>12</v>
      </c>
      <c r="J15" s="28">
        <f>Table6[[#This Row],[Cost]]*Table6[[#This Row],[Stock]]</f>
        <v>21000</v>
      </c>
      <c r="K15" s="1" t="str">
        <f>IF(Table6[[#This Row],[Stock]]&lt;5,"📞 "&amp;Table6[[#This Row],[Product_Name]]&amp;" Needs to re-order ! Ph "&amp;VLOOKUP(Table6[[#This Row],[Product_Code]],Table3[#All],4,0),"")</f>
        <v/>
      </c>
    </row>
    <row r="16" spans="2:11" x14ac:dyDescent="0.35">
      <c r="D16" s="28" t="str">
        <f>IFERROR(PRODUCTS!D15,"")</f>
        <v>N110</v>
      </c>
      <c r="E16" s="28" t="str">
        <f>IFERROR(PRODUCTS!E15,"")</f>
        <v>Tablets</v>
      </c>
      <c r="F16" s="28">
        <f>IFERROR(PRODUCTS!F15,"")</f>
        <v>23500</v>
      </c>
      <c r="G16" s="28">
        <f>SUMIF(Table4[Product_Name],Table6[[#This Row],[Product_Name]],Table4[Units])</f>
        <v>23</v>
      </c>
      <c r="H16" s="28">
        <f>SUMIF(salesdata[Product_Name],Table6[[#This Row],[Product_Name]],salesdata[Units])</f>
        <v>2</v>
      </c>
      <c r="I16" s="28">
        <f>Table6[[#This Row],[Purchased Units]]-Table6[[#This Row],[Sold Units]]</f>
        <v>21</v>
      </c>
      <c r="J16" s="28">
        <f>Table6[[#This Row],[Cost]]*Table6[[#This Row],[Stock]]</f>
        <v>493500</v>
      </c>
      <c r="K16" s="1" t="str">
        <f>IF(Table6[[#This Row],[Stock]]&lt;5,"📞 "&amp;Table6[[#This Row],[Product_Name]]&amp;" Needs to re-order ! Ph "&amp;VLOOKUP(Table6[[#This Row],[Product_Code]],Table3[#All],4,0),"")</f>
        <v/>
      </c>
    </row>
    <row r="17" spans="4:11" x14ac:dyDescent="0.35">
      <c r="D17" s="28" t="str">
        <f>IFERROR(PRODUCTS!D16,"")</f>
        <v>N111</v>
      </c>
      <c r="E17" s="28" t="str">
        <f>IFERROR(PRODUCTS!E16,"")</f>
        <v>Adopter</v>
      </c>
      <c r="F17" s="28">
        <f>IFERROR(PRODUCTS!F16,"")</f>
        <v>1250</v>
      </c>
      <c r="G17" s="28">
        <f>SUMIF(Table4[Product_Name],Table6[[#This Row],[Product_Name]],Table4[Units])</f>
        <v>10</v>
      </c>
      <c r="H17" s="28">
        <f>SUMIF(salesdata[Product_Name],Table6[[#This Row],[Product_Name]],salesdata[Units])</f>
        <v>6</v>
      </c>
      <c r="I17" s="28">
        <f>Table6[[#This Row],[Purchased Units]]-Table6[[#This Row],[Sold Units]]</f>
        <v>4</v>
      </c>
      <c r="J17" s="28">
        <f>Table6[[#This Row],[Cost]]*Table6[[#This Row],[Stock]]</f>
        <v>5000</v>
      </c>
      <c r="K17" s="1" t="str">
        <f>IF(Table6[[#This Row],[Stock]]&lt;5,"📞 "&amp;Table6[[#This Row],[Product_Name]]&amp;" Needs to re-order ! Ph "&amp;VLOOKUP(Table6[[#This Row],[Product_Code]],Table3[#All],4,0),"")</f>
        <v>📞 Adopter Needs to re-order ! Ph 0317xxxxxxxx</v>
      </c>
    </row>
    <row r="18" spans="4:11" x14ac:dyDescent="0.35">
      <c r="D18" s="28" t="str">
        <f>IFERROR(PRODUCTS!D17,"")</f>
        <v>N112</v>
      </c>
      <c r="E18" s="28" t="str">
        <f>IFERROR(PRODUCTS!E17,"")</f>
        <v>Wireless Mouse</v>
      </c>
      <c r="F18" s="28">
        <f>IFERROR(PRODUCTS!F17,"")</f>
        <v>2500</v>
      </c>
      <c r="G18" s="28">
        <f>SUMIF(Table4[Product_Name],Table6[[#This Row],[Product_Name]],Table4[Units])</f>
        <v>57</v>
      </c>
      <c r="H18" s="28">
        <f>SUMIF(salesdata[Product_Name],Table6[[#This Row],[Product_Name]],salesdata[Units])</f>
        <v>3</v>
      </c>
      <c r="I18" s="28">
        <f>Table6[[#This Row],[Purchased Units]]-Table6[[#This Row],[Sold Units]]</f>
        <v>54</v>
      </c>
      <c r="J18" s="28">
        <f>Table6[[#This Row],[Cost]]*Table6[[#This Row],[Stock]]</f>
        <v>135000</v>
      </c>
      <c r="K18" s="1" t="str">
        <f>IF(Table6[[#This Row],[Stock]]&lt;5,"📞 "&amp;Table6[[#This Row],[Product_Name]]&amp;" Needs to re-order ! Ph "&amp;VLOOKUP(Table6[[#This Row],[Product_Code]],Table3[#All],4,0),"")</f>
        <v/>
      </c>
    </row>
    <row r="19" spans="4:11" x14ac:dyDescent="0.35">
      <c r="D19" s="28" t="str">
        <f>IFERROR(PRODUCTS!D18,"")</f>
        <v>N113</v>
      </c>
      <c r="E19" s="28" t="str">
        <f>IFERROR(PRODUCTS!E18,"")</f>
        <v>Macbook</v>
      </c>
      <c r="F19" s="28">
        <f>IFERROR(PRODUCTS!F18,"")</f>
        <v>150000</v>
      </c>
      <c r="G19" s="28">
        <f>SUMIF(Table4[Product_Name],Table6[[#This Row],[Product_Name]],Table4[Units])</f>
        <v>25</v>
      </c>
      <c r="H19" s="28">
        <f>SUMIF(salesdata[Product_Name],Table6[[#This Row],[Product_Name]],salesdata[Units])</f>
        <v>1</v>
      </c>
      <c r="I19" s="28">
        <f>Table6[[#This Row],[Purchased Units]]-Table6[[#This Row],[Sold Units]]</f>
        <v>24</v>
      </c>
      <c r="J19" s="28">
        <f>Table6[[#This Row],[Cost]]*Table6[[#This Row],[Stock]]</f>
        <v>3600000</v>
      </c>
      <c r="K19" s="1" t="str">
        <f>IF(Table6[[#This Row],[Stock]]&lt;5,"📞 "&amp;Table6[[#This Row],[Product_Name]]&amp;" Needs to re-order ! Ph "&amp;VLOOKUP(Table6[[#This Row],[Product_Code]],Table3[#All],4,0),"")</f>
        <v/>
      </c>
    </row>
    <row r="20" spans="4:11" x14ac:dyDescent="0.35">
      <c r="D20" s="28" t="str">
        <f>IFERROR(PRODUCTS!D19,"")</f>
        <v>N114</v>
      </c>
      <c r="E20" s="28" t="str">
        <f>IFERROR(PRODUCTS!E19,"")</f>
        <v>Charger</v>
      </c>
      <c r="F20" s="28">
        <f>IFERROR(PRODUCTS!F19,"")</f>
        <v>450</v>
      </c>
      <c r="G20" s="28">
        <f>SUMIF(Table4[Product_Name],Table6[[#This Row],[Product_Name]],Table4[Units])</f>
        <v>50</v>
      </c>
      <c r="H20" s="28">
        <f>SUMIF(salesdata[Product_Name],Table6[[#This Row],[Product_Name]],salesdata[Units])</f>
        <v>4</v>
      </c>
      <c r="I20" s="28">
        <f>Table6[[#This Row],[Purchased Units]]-Table6[[#This Row],[Sold Units]]</f>
        <v>46</v>
      </c>
      <c r="J20" s="28">
        <f>Table6[[#This Row],[Cost]]*Table6[[#This Row],[Stock]]</f>
        <v>20700</v>
      </c>
      <c r="K20" s="1" t="str">
        <f>IF(Table6[[#This Row],[Stock]]&lt;5,"📞 "&amp;Table6[[#This Row],[Product_Name]]&amp;" Needs to re-order ! Ph "&amp;VLOOKUP(Table6[[#This Row],[Product_Code]],Table3[#All],4,0),"")</f>
        <v/>
      </c>
    </row>
    <row r="21" spans="4:11" x14ac:dyDescent="0.35">
      <c r="D21" s="28" t="str">
        <f>IFERROR(PRODUCTS!D20,"")</f>
        <v>N115</v>
      </c>
      <c r="E21" s="28" t="str">
        <f>IFERROR(PRODUCTS!E20,"")</f>
        <v>Apple Watch</v>
      </c>
      <c r="F21" s="28">
        <f>IFERROR(PRODUCTS!F20,"")</f>
        <v>25000</v>
      </c>
      <c r="G21" s="28">
        <f>SUMIF(Table4[Product_Name],Table6[[#This Row],[Product_Name]],Table4[Units])</f>
        <v>25</v>
      </c>
      <c r="H21" s="28">
        <f>SUMIF(salesdata[Product_Name],Table6[[#This Row],[Product_Name]],salesdata[Units])</f>
        <v>3</v>
      </c>
      <c r="I21" s="28">
        <f>Table6[[#This Row],[Purchased Units]]-Table6[[#This Row],[Sold Units]]</f>
        <v>22</v>
      </c>
      <c r="J21" s="28">
        <f>Table6[[#This Row],[Cost]]*Table6[[#This Row],[Stock]]</f>
        <v>550000</v>
      </c>
      <c r="K21" s="1" t="str">
        <f>IF(Table6[[#This Row],[Stock]]&lt;5,"📞 "&amp;Table6[[#This Row],[Product_Name]]&amp;" Needs to re-order ! Ph "&amp;VLOOKUP(Table6[[#This Row],[Product_Code]],Table3[#All],4,0),"")</f>
        <v/>
      </c>
    </row>
    <row r="22" spans="4:11" x14ac:dyDescent="0.35">
      <c r="D22" s="28" t="str">
        <f>IFERROR(PRODUCTS!D21,"")</f>
        <v>N116</v>
      </c>
      <c r="E22" s="28" t="str">
        <f>IFERROR(PRODUCTS!E21,"")</f>
        <v>Lightening Cable</v>
      </c>
      <c r="F22" s="28">
        <f>IFERROR(PRODUCTS!F21,"")</f>
        <v>120</v>
      </c>
      <c r="G22" s="28">
        <f>SUMIF(Table4[Product_Name],Table6[[#This Row],[Product_Name]],Table4[Units])</f>
        <v>35</v>
      </c>
      <c r="H22" s="28">
        <f>SUMIF(salesdata[Product_Name],Table6[[#This Row],[Product_Name]],salesdata[Units])</f>
        <v>1</v>
      </c>
      <c r="I22" s="28">
        <f>Table6[[#This Row],[Purchased Units]]-Table6[[#This Row],[Sold Units]]</f>
        <v>34</v>
      </c>
      <c r="J22" s="28">
        <f>Table6[[#This Row],[Cost]]*Table6[[#This Row],[Stock]]</f>
        <v>4080</v>
      </c>
      <c r="K22" s="1" t="str">
        <f>IF(Table6[[#This Row],[Stock]]&lt;5,"📞 "&amp;Table6[[#This Row],[Product_Name]]&amp;" Needs to re-order ! Ph "&amp;VLOOKUP(Table6[[#This Row],[Product_Code]],Table3[#All],4,0),"")</f>
        <v/>
      </c>
    </row>
    <row r="23" spans="4:11" x14ac:dyDescent="0.35">
      <c r="D23" s="32" t="str">
        <f>IFERROR(PRODUCTS!D22,"")</f>
        <v>N117</v>
      </c>
      <c r="E23" s="32" t="str">
        <f>IFERROR(PRODUCTS!E22,"")</f>
        <v>Iphone 13</v>
      </c>
      <c r="F23" s="32">
        <f>IFERROR(PRODUCTS!F22,"")</f>
        <v>120000</v>
      </c>
      <c r="G23" s="32">
        <f>SUMIF(Table4[Product_Name],Table6[[#This Row],[Product_Name]],Table4[Units])</f>
        <v>25</v>
      </c>
      <c r="H23" s="32">
        <f>SUMIF(salesdata[Product_Name],Table6[[#This Row],[Product_Name]],salesdata[Units])</f>
        <v>2</v>
      </c>
      <c r="I23" s="32">
        <f>Table6[[#This Row],[Purchased Units]]-Table6[[#This Row],[Sold Units]]</f>
        <v>23</v>
      </c>
      <c r="J23" s="32">
        <f>Table6[[#This Row],[Cost]]*Table6[[#This Row],[Stock]]</f>
        <v>2760000</v>
      </c>
      <c r="K23" s="1" t="str">
        <f>IF(Table6[[#This Row],[Stock]]&lt;5,"📞 "&amp;Table6[[#This Row],[Product_Name]]&amp;" Needs to re-order ! Ph "&amp;VLOOKUP(Table6[[#This Row],[Product_Code]],Table3[#All],4,0),"")</f>
        <v/>
      </c>
    </row>
    <row r="24" spans="4:11" x14ac:dyDescent="0.35">
      <c r="D24" s="32" t="str">
        <f>IFERROR(PRODUCTS!D23,"")</f>
        <v>N119</v>
      </c>
      <c r="E24" s="32" t="str">
        <f>IFERROR(PRODUCTS!E23,"")</f>
        <v>Iphone 14</v>
      </c>
      <c r="F24" s="32">
        <f>IFERROR(PRODUCTS!F23,"")</f>
        <v>130000</v>
      </c>
      <c r="G24" s="32">
        <f>SUMIF(Table4[Product_Name],Table6[[#This Row],[Product_Name]],Table4[Units])</f>
        <v>16</v>
      </c>
      <c r="H24" s="32">
        <f>SUMIF(salesdata[Product_Name],Table6[[#This Row],[Product_Name]],salesdata[Units])</f>
        <v>3</v>
      </c>
      <c r="I24" s="32">
        <f>Table6[[#This Row],[Purchased Units]]-Table6[[#This Row],[Sold Units]]</f>
        <v>13</v>
      </c>
      <c r="J24" s="32">
        <f>Table6[[#This Row],[Cost]]*Table6[[#This Row],[Stock]]</f>
        <v>1690000</v>
      </c>
      <c r="K24" s="1" t="str">
        <f>IF(Table6[[#This Row],[Stock]]&lt;5,"📞 "&amp;Table6[[#This Row],[Product_Name]]&amp;" Needs to re-order ! Ph "&amp;VLOOKUP(Table6[[#This Row],[Product_Code]],Table3[#All],4,0),"")</f>
        <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97205-F676-4A38-A6DF-057F1C906809}">
  <sheetPr codeName="Sheet9"/>
  <dimension ref="B1:I21"/>
  <sheetViews>
    <sheetView showGridLines="0" showRowColHeaders="0" workbookViewId="0">
      <selection activeCell="F19" sqref="F19"/>
    </sheetView>
  </sheetViews>
  <sheetFormatPr defaultRowHeight="14.5" x14ac:dyDescent="0.35"/>
  <cols>
    <col min="1" max="1" width="2.453125" customWidth="1"/>
    <col min="2" max="2" width="18.36328125" bestFit="1" customWidth="1"/>
    <col min="3" max="3" width="9.1796875" bestFit="1" customWidth="1"/>
    <col min="4" max="4" width="16.7265625" bestFit="1" customWidth="1"/>
    <col min="5" max="5" width="7.81640625" bestFit="1" customWidth="1"/>
    <col min="6" max="6" width="19.08984375" bestFit="1" customWidth="1"/>
    <col min="7" max="7" width="5" customWidth="1"/>
    <col min="8" max="8" width="14.453125" bestFit="1" customWidth="1"/>
    <col min="9" max="9" width="11.6328125" bestFit="1" customWidth="1"/>
    <col min="10" max="10" width="19.08984375" bestFit="1" customWidth="1"/>
    <col min="12" max="12" width="14.453125" bestFit="1" customWidth="1"/>
    <col min="13" max="13" width="11.6328125" bestFit="1" customWidth="1"/>
  </cols>
  <sheetData>
    <row r="1" spans="2:9" ht="15" thickBot="1" x14ac:dyDescent="0.4"/>
    <row r="2" spans="2:9" ht="15" thickBot="1" x14ac:dyDescent="0.4">
      <c r="B2" s="23" t="s">
        <v>90</v>
      </c>
      <c r="C2" s="10" t="s">
        <v>92</v>
      </c>
      <c r="D2" s="10" t="s">
        <v>94</v>
      </c>
      <c r="E2" s="10" t="s">
        <v>94</v>
      </c>
      <c r="F2" s="23" t="s">
        <v>97</v>
      </c>
      <c r="H2" s="5" t="s">
        <v>103</v>
      </c>
      <c r="I2" t="s">
        <v>102</v>
      </c>
    </row>
    <row r="3" spans="2:9" ht="15" thickBot="1" x14ac:dyDescent="0.4">
      <c r="B3" s="23">
        <v>8</v>
      </c>
      <c r="C3">
        <v>18</v>
      </c>
      <c r="D3">
        <v>12537200</v>
      </c>
      <c r="E3">
        <v>3044450</v>
      </c>
      <c r="F3" s="23">
        <v>10453460</v>
      </c>
      <c r="H3" s="6" t="s">
        <v>65</v>
      </c>
      <c r="I3">
        <v>4</v>
      </c>
    </row>
    <row r="4" spans="2:9" ht="15" thickBot="1" x14ac:dyDescent="0.4">
      <c r="H4" s="6" t="s">
        <v>86</v>
      </c>
      <c r="I4">
        <v>22</v>
      </c>
    </row>
    <row r="5" spans="2:9" ht="15.5" x14ac:dyDescent="0.35">
      <c r="B5" s="7" t="s">
        <v>91</v>
      </c>
      <c r="C5" s="7" t="s">
        <v>93</v>
      </c>
      <c r="D5" s="7" t="s">
        <v>95</v>
      </c>
      <c r="E5" s="7" t="s">
        <v>96</v>
      </c>
      <c r="F5" s="7" t="s">
        <v>84</v>
      </c>
      <c r="H5" s="6" t="s">
        <v>38</v>
      </c>
      <c r="I5">
        <v>13</v>
      </c>
    </row>
    <row r="6" spans="2:9" ht="16" thickBot="1" x14ac:dyDescent="0.4">
      <c r="B6" s="8">
        <f>GETPIVOTDATA("Cust_Name",$B$2)</f>
        <v>8</v>
      </c>
      <c r="C6" s="8">
        <f>GETPIVOTDATA("Product_Name",$C$2)</f>
        <v>18</v>
      </c>
      <c r="D6" s="9">
        <f>GETPIVOTDATA("Amount",$D$2)</f>
        <v>12537200</v>
      </c>
      <c r="E6" s="9">
        <f>GETPIVOTDATA("Amount",$E$2)</f>
        <v>3044450</v>
      </c>
      <c r="F6" s="9">
        <f>GETPIVOTDATA("Stock Amount",$F$2)</f>
        <v>10453460</v>
      </c>
      <c r="H6" s="6" t="s">
        <v>74</v>
      </c>
      <c r="I6">
        <v>46</v>
      </c>
    </row>
    <row r="7" spans="2:9" x14ac:dyDescent="0.35">
      <c r="H7" s="6" t="s">
        <v>35</v>
      </c>
      <c r="I7">
        <v>4</v>
      </c>
    </row>
    <row r="8" spans="2:9" ht="15" thickBot="1" x14ac:dyDescent="0.4">
      <c r="H8" s="6" t="s">
        <v>39</v>
      </c>
      <c r="I8">
        <v>34</v>
      </c>
    </row>
    <row r="9" spans="2:9" ht="14.5" customHeight="1" thickBot="1" x14ac:dyDescent="0.4">
      <c r="B9" s="16" t="s">
        <v>103</v>
      </c>
      <c r="C9" s="21" t="s">
        <v>106</v>
      </c>
      <c r="D9" s="41" t="s">
        <v>104</v>
      </c>
      <c r="E9" s="44" t="s">
        <v>105</v>
      </c>
      <c r="F9" s="54" t="s">
        <v>99</v>
      </c>
      <c r="H9" s="6" t="s">
        <v>33</v>
      </c>
      <c r="I9">
        <v>4</v>
      </c>
    </row>
    <row r="10" spans="2:9" ht="14.5" customHeight="1" thickBot="1" x14ac:dyDescent="0.4">
      <c r="B10" s="17" t="s">
        <v>33</v>
      </c>
      <c r="C10" s="50">
        <v>11</v>
      </c>
      <c r="D10" s="6" t="s">
        <v>107</v>
      </c>
      <c r="E10" s="48">
        <v>795000</v>
      </c>
      <c r="F10" s="55"/>
      <c r="H10" s="6" t="s">
        <v>89</v>
      </c>
      <c r="I10">
        <v>34</v>
      </c>
    </row>
    <row r="11" spans="2:9" ht="14.5" customHeight="1" x14ac:dyDescent="0.35">
      <c r="B11" s="18" t="s">
        <v>34</v>
      </c>
      <c r="C11" s="51">
        <v>8</v>
      </c>
      <c r="D11" s="42" t="s">
        <v>6</v>
      </c>
      <c r="E11">
        <v>690250</v>
      </c>
      <c r="F11" s="56">
        <f>F6+E6-D6</f>
        <v>960710</v>
      </c>
      <c r="H11" s="6" t="s">
        <v>73</v>
      </c>
      <c r="I11">
        <v>24</v>
      </c>
    </row>
    <row r="12" spans="2:9" ht="14.5" customHeight="1" x14ac:dyDescent="0.35">
      <c r="B12" s="18" t="s">
        <v>38</v>
      </c>
      <c r="C12" s="51">
        <v>7</v>
      </c>
      <c r="D12" s="6" t="s">
        <v>3</v>
      </c>
      <c r="E12">
        <v>565000</v>
      </c>
      <c r="F12" s="56"/>
      <c r="H12" s="6" t="s">
        <v>36</v>
      </c>
      <c r="I12">
        <v>23</v>
      </c>
    </row>
    <row r="13" spans="2:9" ht="14.5" customHeight="1" thickBot="1" x14ac:dyDescent="0.4">
      <c r="B13" s="19" t="s">
        <v>65</v>
      </c>
      <c r="C13" s="51">
        <v>6</v>
      </c>
      <c r="D13" s="6" t="s">
        <v>9</v>
      </c>
      <c r="E13">
        <v>537000</v>
      </c>
      <c r="F13" s="56"/>
      <c r="H13" s="6" t="s">
        <v>37</v>
      </c>
      <c r="I13">
        <v>29</v>
      </c>
    </row>
    <row r="14" spans="2:9" ht="15" customHeight="1" thickBot="1" x14ac:dyDescent="0.4">
      <c r="B14" s="15" t="s">
        <v>35</v>
      </c>
      <c r="C14" s="51">
        <v>6</v>
      </c>
      <c r="D14" s="22" t="s">
        <v>7</v>
      </c>
      <c r="E14">
        <v>349000</v>
      </c>
      <c r="F14" s="56"/>
      <c r="H14" s="6" t="s">
        <v>32</v>
      </c>
      <c r="I14">
        <v>59</v>
      </c>
    </row>
    <row r="15" spans="2:9" ht="15" thickBot="1" x14ac:dyDescent="0.4">
      <c r="B15" s="20" t="s">
        <v>98</v>
      </c>
      <c r="C15" s="49">
        <v>38</v>
      </c>
      <c r="D15" s="43" t="s">
        <v>98</v>
      </c>
      <c r="E15" s="47">
        <v>2936250</v>
      </c>
      <c r="F15" s="57"/>
      <c r="H15" s="6" t="s">
        <v>40</v>
      </c>
      <c r="I15">
        <v>12</v>
      </c>
    </row>
    <row r="16" spans="2:9" x14ac:dyDescent="0.35">
      <c r="H16" s="6" t="s">
        <v>41</v>
      </c>
      <c r="I16">
        <v>21</v>
      </c>
    </row>
    <row r="17" spans="8:9" x14ac:dyDescent="0.35">
      <c r="H17" s="6" t="s">
        <v>67</v>
      </c>
      <c r="I17">
        <v>54</v>
      </c>
    </row>
    <row r="18" spans="8:9" x14ac:dyDescent="0.35">
      <c r="H18" s="6" t="s">
        <v>34</v>
      </c>
      <c r="I18">
        <v>4</v>
      </c>
    </row>
    <row r="19" spans="8:9" x14ac:dyDescent="0.35">
      <c r="H19" s="6" t="s">
        <v>110</v>
      </c>
      <c r="I19">
        <v>23</v>
      </c>
    </row>
    <row r="20" spans="8:9" x14ac:dyDescent="0.35">
      <c r="H20" s="6" t="s">
        <v>114</v>
      </c>
      <c r="I20">
        <v>13</v>
      </c>
    </row>
    <row r="21" spans="8:9" x14ac:dyDescent="0.35">
      <c r="H21" s="6" t="s">
        <v>98</v>
      </c>
      <c r="I21">
        <v>423</v>
      </c>
    </row>
  </sheetData>
  <mergeCells count="2">
    <mergeCell ref="F9:F10"/>
    <mergeCell ref="F11:F15"/>
  </mergeCell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DASHBOARD</vt:lpstr>
      <vt:lpstr>CUSTOMERS</vt:lpstr>
      <vt:lpstr>PRODUCTS</vt:lpstr>
      <vt:lpstr>VENDORS</vt:lpstr>
      <vt:lpstr>NEW ENTRY</vt:lpstr>
      <vt:lpstr>PURCHASE</vt:lpstr>
      <vt:lpstr>SALES</vt:lpstr>
      <vt:lpstr>INVENTORY</vt:lpstr>
      <vt:lpstr>PIVOTS</vt:lpstr>
      <vt:lpstr>CodeP</vt:lpstr>
      <vt:lpstr>Cust_ID</vt:lpstr>
      <vt:lpstr>Product_Code</vt:lpstr>
      <vt:lpstr>Productcode</vt:lpstr>
      <vt:lpstr>productdata</vt:lpstr>
      <vt:lpstr>purchasedata</vt:lpstr>
      <vt:lpstr>vendorsdata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2025-10-04T22:44:40Z</dcterms:created>
  <dcterms:modified xsi:type="dcterms:W3CDTF">2025-11-24T11:43:58Z</dcterms:modified>
</cp:coreProperties>
</file>